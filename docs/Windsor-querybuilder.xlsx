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ellingen" sheetId="1" state="visible" r:id="rId1"/>
    <sheet name="Instagram Org" sheetId="2" state="visible" r:id="rId2"/>
    <sheet name="Facebook Org" sheetId="3" state="visible" r:id="rId3"/>
    <sheet name="Meta Ads campagnes" sheetId="4" state="visible" r:id="rId4"/>
    <sheet name="Meta Ads advertenties" sheetId="5" state="visible" r:id="rId5"/>
    <sheet name="Meta Ads doelgroep" sheetId="6" state="visible" r:id="rId6"/>
    <sheet name="Meta Ads regio" sheetId="7" state="visible" r:id="rId7"/>
    <sheet name="Meta Ads asset titel" sheetId="8" state="visible" r:id="rId8"/>
    <sheet name="Meta Ads asset body" sheetId="9" state="visible" r:id="rId9"/>
    <sheet name="Meta Ads asset CTA" sheetId="10" state="visible" r:id="rId10"/>
    <sheet name="Meta Ads asset image" sheetId="11" state="visible" r:id="rId11"/>
    <sheet name="Meta Ads asset video" sheetId="12" state="visible" r:id="rId12"/>
    <sheet name="GA4 dag" sheetId="13" state="visible" r:id="rId13"/>
    <sheet name="GA4 kanaal" sheetId="14" state="visible" r:id="rId14"/>
    <sheet name="GA4 landing" sheetId="15" state="visible" r:id="rId15"/>
    <sheet name="GA4 doelgroep" sheetId="16" state="visible" r:id="rId16"/>
    <sheet name="Search Console dag" sheetId="17" state="visible" r:id="rId17"/>
    <sheet name="Search Console query" sheetId="18" state="visible" r:id="rId18"/>
    <sheet name="Search Console pagina" sheetId="19" state="visible" r:id="rId19"/>
    <sheet name="Google Ads campagnes" sheetId="20" state="visible" r:id="rId20"/>
    <sheet name="Google Ads vertoningsaandeel" sheetId="21" state="visible" r:id="rId21"/>
    <sheet name="Google Ads zoektermen" sheetId="22" state="visible" r:id="rId22"/>
    <sheet name="Google Ads apparaat" sheetId="23" state="visible" r:id="rId23"/>
    <sheet name="Google Ads conversieacties" sheetId="24" state="visible" r:id="rId24"/>
    <sheet name="Klaviyo" sheetId="25" state="visible" r:id="rId25"/>
    <sheet name="Mailerlite" sheetId="26" state="visible" r:id="rId26"/>
    <sheet name="Convertkit broadcasts" sheetId="27" state="visible" r:id="rId27"/>
    <sheet name="Convertkit subscribers" sheetId="28" state="visible" r:id="rId28"/>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sz val="14"/>
    </font>
    <font>
      <name val="Arial"/>
      <i val="1"/>
      <sz val="10"/>
    </font>
    <font>
      <name val="Arial"/>
      <b val="1"/>
      <sz val="10"/>
    </font>
    <font>
      <name val="Arial"/>
      <color rgb="000000FF"/>
      <sz val="10"/>
    </font>
    <font>
      <name val="Arial"/>
      <color rgb="00595959"/>
      <sz val="10"/>
    </font>
    <font>
      <name val="Arial"/>
      <sz val="10"/>
    </font>
    <font>
      <name val="Arial"/>
      <i val="1"/>
      <color rgb="00C00000"/>
      <sz val="10"/>
    </font>
    <font>
      <name val="Arial"/>
      <color rgb="00008000"/>
      <sz val="10"/>
    </font>
    <font>
      <name val="Arial"/>
      <i val="1"/>
      <color rgb="00595959"/>
      <sz val="10"/>
    </font>
    <font>
      <name val="Arial"/>
      <b val="1"/>
      <sz val="13"/>
    </font>
    <font>
      <name val="Arial"/>
      <color rgb="00008000"/>
    </font>
    <font>
      <name val="Arial"/>
    </font>
    <font>
      <name val="Arial"/>
      <color rgb="00808080"/>
      <sz val="10"/>
    </font>
  </fonts>
  <fills count="5">
    <fill>
      <patternFill/>
    </fill>
    <fill>
      <patternFill patternType="gray125"/>
    </fill>
    <fill>
      <patternFill patternType="solid">
        <fgColor rgb="00FFFF00"/>
      </patternFill>
    </fill>
    <fill>
      <patternFill patternType="solid">
        <fgColor rgb="00D9E1F2"/>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2" borderId="0" applyAlignment="1" pivotButton="0" quotePrefix="0" xfId="0">
      <alignment vertical="top"/>
    </xf>
    <xf numFmtId="0" fontId="5" fillId="0" borderId="0" applyAlignment="1" pivotButton="0" quotePrefix="0" xfId="0">
      <alignment vertical="top" wrapText="1"/>
    </xf>
    <xf numFmtId="0" fontId="6" fillId="0" borderId="0" applyAlignment="1" pivotButton="0" quotePrefix="0" xfId="0">
      <alignment vertical="top"/>
    </xf>
    <xf numFmtId="0" fontId="7" fillId="0" borderId="0" applyAlignment="1" pivotButton="0" quotePrefix="0" xfId="0">
      <alignment vertical="top"/>
    </xf>
    <xf numFmtId="0" fontId="3" fillId="3" borderId="1" applyAlignment="1" pivotButton="0" quotePrefix="0" xfId="0">
      <alignment vertical="top"/>
    </xf>
    <xf numFmtId="0" fontId="6" fillId="0" borderId="1" applyAlignment="1" pivotButton="0" quotePrefix="0" xfId="0">
      <alignment vertical="top"/>
    </xf>
    <xf numFmtId="0" fontId="6" fillId="0" borderId="1" applyAlignment="1" pivotButton="0" quotePrefix="0" xfId="0">
      <alignment vertical="top" wrapText="1"/>
    </xf>
    <xf numFmtId="0" fontId="8" fillId="0" borderId="1" applyAlignment="1" pivotButton="0" quotePrefix="0" xfId="0">
      <alignment vertical="top"/>
    </xf>
    <xf numFmtId="0" fontId="9" fillId="0" borderId="0" applyAlignment="1" pivotButton="0" quotePrefix="0" xfId="0">
      <alignment vertical="top" wrapText="1"/>
    </xf>
    <xf numFmtId="0" fontId="10" fillId="0" borderId="0" applyAlignment="1" pivotButton="0" quotePrefix="0" xfId="0">
      <alignment vertical="top"/>
    </xf>
    <xf numFmtId="0" fontId="9" fillId="0" borderId="0" applyAlignment="1" pivotButton="0" quotePrefix="0" xfId="0">
      <alignment vertical="top"/>
    </xf>
    <xf numFmtId="0" fontId="11" fillId="0" borderId="0" applyAlignment="1" pivotButton="0" quotePrefix="0" xfId="0">
      <alignment vertical="top"/>
    </xf>
    <xf numFmtId="0" fontId="6" fillId="4" borderId="0" applyAlignment="1" pivotButton="0" quotePrefix="0" xfId="0">
      <alignment vertical="top" wrapText="1"/>
    </xf>
    <xf numFmtId="0" fontId="12" fillId="0" borderId="0" applyAlignment="1" pivotButton="0" quotePrefix="0" xfId="0">
      <alignment vertical="top"/>
    </xf>
    <xf numFmtId="0" fontId="5" fillId="0" borderId="1" applyAlignment="1" pivotButton="0" quotePrefix="0" xfId="0">
      <alignment vertical="top" wrapText="1"/>
    </xf>
    <xf numFmtId="0" fontId="4" fillId="2" borderId="1" applyAlignment="1" pivotButton="0" quotePrefix="0" xfId="0">
      <alignment horizontal="center"/>
    </xf>
    <xf numFmtId="0" fontId="13" fillId="0" borderId="0" applyAlignment="1" pivotButton="0" quotePrefix="0" xfId="0">
      <alignment vertical="top"/>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
  <sheetViews>
    <sheetView workbookViewId="0">
      <pane ySplit="2" topLeftCell="A3" activePane="bottomLeft" state="frozen"/>
      <selection pane="bottomLeft" activeCell="A1" sqref="A1"/>
    </sheetView>
  </sheetViews>
  <sheetFormatPr baseColWidth="8" defaultRowHeight="15"/>
  <cols>
    <col width="30" customWidth="1" min="1" max="1"/>
    <col width="22" customWidth="1" min="2" max="2"/>
    <col width="30" customWidth="1" min="3" max="3"/>
    <col width="48" customWidth="1" min="4" max="4"/>
    <col width="46" customWidth="1" min="5" max="5"/>
    <col width="44" customWidth="1" min="6" max="6"/>
  </cols>
  <sheetData>
    <row r="1">
      <c r="A1" s="1" t="inlineStr">
        <is>
          <t>Windsor.ai-querybuilder — nieuwe klant</t>
        </is>
      </c>
    </row>
    <row r="2" ht="30" customHeight="1">
      <c r="A2" s="2" t="inlineStr">
        <is>
          <t>Vul de gele cellen in. Elk exporttabblad bouwt daaruit de URL, de taaknaam en de tabnaam. De api_key blijft altijd leeg: plak die pas in Windsor.</t>
        </is>
      </c>
    </row>
    <row r="3">
      <c r="A3" s="3" t="inlineStr">
        <is>
          <t>Klantcode</t>
        </is>
      </c>
      <c r="B3" s="4" t="inlineStr">
        <is>
          <t>mayday</t>
        </is>
      </c>
      <c r="C3" s="5" t="inlineStr">
        <is>
          <t>Kleine letters, zoals in CLIENTS. Komt in taaknaam en tabnaam.</t>
        </is>
      </c>
    </row>
    <row r="4">
      <c r="A4" s="3" t="inlineStr">
        <is>
          <t>date_preset</t>
        </is>
      </c>
      <c r="B4" s="4" t="inlineStr">
        <is>
          <t>last_30d</t>
        </is>
      </c>
      <c r="C4" s="5" t="inlineStr">
        <is>
          <t>Windsor-periode per run (bv. last_30d, last_90d). Leeg = geen periode in de URL.</t>
        </is>
      </c>
    </row>
    <row r="5">
      <c r="A5" s="3" t="inlineStr">
        <is>
          <t>_field_headers</t>
        </is>
      </c>
      <c r="B5" s="4" t="inlineStr">
        <is>
          <t>names</t>
        </is>
      </c>
      <c r="C5" s="5" t="inlineStr">
        <is>
          <t>names = leesbare koppen (zoals de bestaande exports), ids = veld-id's als kop. Het dashboard leest beide.</t>
        </is>
      </c>
    </row>
    <row r="6">
      <c r="A6" s="3" t="inlineStr">
        <is>
          <t>Conversiedoel (GA4-eventnaam)</t>
        </is>
      </c>
      <c r="B6" s="4" t="inlineStr"/>
      <c r="C6" s="5" t="inlineStr">
        <is>
          <t>Zelfde waarde als 'Conversiedoel' in de Config-tab. Vult het veld conversions_&lt;event&gt; in de GA4-tabs.</t>
        </is>
      </c>
    </row>
    <row r="8">
      <c r="A8" s="3" t="inlineStr">
        <is>
          <t>Account-id's (Windsor select_accounts) — leeg laten = geen select_accounts in de URL</t>
        </is>
      </c>
    </row>
    <row r="9">
      <c r="A9" s="3" t="inlineStr">
        <is>
          <t>Instagram account-id</t>
        </is>
      </c>
      <c r="B9" s="4" t="inlineStr">
        <is>
          <t>17841452604543901</t>
        </is>
      </c>
      <c r="C9" s="5" t="inlineStr">
        <is>
          <t>Numerieke IG-id (Windsor select_accounts), niet de gebruikersnaam.</t>
        </is>
      </c>
    </row>
    <row r="10">
      <c r="A10" s="3" t="inlineStr">
        <is>
          <t>Facebook pagina-id</t>
        </is>
      </c>
      <c r="B10" s="4" t="inlineStr"/>
      <c r="C10" s="5" t="inlineStr">
        <is>
          <t>Connector facebook_organic.</t>
        </is>
      </c>
    </row>
    <row r="11">
      <c r="A11" s="3" t="inlineStr">
        <is>
          <t>Meta Ads account-id</t>
        </is>
      </c>
      <c r="B11" s="4" t="inlineStr"/>
      <c r="C11" s="5" t="inlineStr">
        <is>
          <t>Zoals Windsor hem toont, zonder act_.</t>
        </is>
      </c>
    </row>
    <row r="12">
      <c r="A12" s="3" t="inlineStr">
        <is>
          <t>GA4 property-id</t>
        </is>
      </c>
      <c r="B12" s="4" t="inlineStr"/>
      <c r="C12" s="5" t="inlineStr">
        <is>
          <t>Cijferreeks, bv. 491908260. Zelfde als 'GA4 property' in de Config-tab.</t>
        </is>
      </c>
    </row>
    <row r="13">
      <c r="A13" s="3" t="inlineStr">
        <is>
          <t>Search Console site</t>
        </is>
      </c>
      <c r="B13" s="4" t="inlineStr"/>
      <c r="C13" s="5" t="inlineStr">
        <is>
          <t>sc-domain:merk.be of https://www.merk.be/ — exact zoals Windsor hem toont.</t>
        </is>
      </c>
    </row>
    <row r="14">
      <c r="A14" s="3" t="inlineStr">
        <is>
          <t>Google Ads customer-id</t>
        </is>
      </c>
      <c r="B14" s="4" t="inlineStr"/>
      <c r="C14" s="5" t="inlineStr">
        <is>
          <t>Zoals Windsor hem toont (met of zonder streepjes, volg Windsor).</t>
        </is>
      </c>
    </row>
    <row r="15">
      <c r="A15" s="3" t="inlineStr">
        <is>
          <t>Klaviyo account-id</t>
        </is>
      </c>
      <c r="B15" s="4" t="inlineStr"/>
      <c r="C15" s="5" t="inlineStr">
        <is>
          <t>Alleen bij Klaviyo.</t>
        </is>
      </c>
    </row>
    <row r="16">
      <c r="A16" s="3" t="inlineStr">
        <is>
          <t>Mailerlite account-id</t>
        </is>
      </c>
      <c r="B16" s="4" t="inlineStr"/>
      <c r="C16" s="5" t="inlineStr">
        <is>
          <t>Alleen bij Mailerlite.</t>
        </is>
      </c>
    </row>
    <row r="18">
      <c r="A18" s="3" t="inlineStr">
        <is>
          <t>Delen met het service-account (Viewer):</t>
        </is>
      </c>
      <c r="B18" s="6" t="inlineStr">
        <is>
          <t>performance-agent@performance-agent-493301.iam.gserviceaccount.com</t>
        </is>
      </c>
    </row>
    <row r="19">
      <c r="A19" s="7" t="inlineStr">
        <is>
          <t>Deel een Windsor-datasheet nooit met een klant: de Queries-tab bevat de api_key.</t>
        </is>
      </c>
    </row>
    <row r="21">
      <c r="A21" s="8" t="inlineStr">
        <is>
          <t>Exporttab</t>
        </is>
      </c>
      <c r="B21" s="8" t="inlineStr">
        <is>
          <t>Connector</t>
        </is>
      </c>
      <c r="C21" s="8" t="inlineStr">
        <is>
          <t>Status</t>
        </is>
      </c>
      <c r="D21" s="8" t="inlineStr">
        <is>
          <t>Dashboardblok</t>
        </is>
      </c>
      <c r="E21" s="8" t="inlineStr">
        <is>
          <t>Taaknaam (Task name)</t>
        </is>
      </c>
      <c r="F21" s="8" t="inlineStr">
        <is>
          <t>Tabnaam (Sheet Name)</t>
        </is>
      </c>
    </row>
    <row r="22">
      <c r="A22" s="9" t="inlineStr">
        <is>
          <t>Instagram Org</t>
        </is>
      </c>
      <c r="B22" s="9" t="inlineStr">
        <is>
          <t>instagram</t>
        </is>
      </c>
      <c r="C22" s="9" t="inlineStr">
        <is>
          <t>Aanbevolen</t>
        </is>
      </c>
      <c r="D22" s="10" t="inlineStr">
        <is>
          <t>Social → Instagram</t>
        </is>
      </c>
      <c r="E22" s="11">
        <f>'Instagram Org'!$B$4</f>
        <v/>
      </c>
      <c r="F22" s="11">
        <f>'Instagram Org'!$B$5</f>
        <v/>
      </c>
    </row>
    <row r="23">
      <c r="A23" s="9" t="inlineStr">
        <is>
          <t>Facebook Org</t>
        </is>
      </c>
      <c r="B23" s="9" t="inlineStr">
        <is>
          <t>facebook_organic</t>
        </is>
      </c>
      <c r="C23" s="9" t="inlineStr">
        <is>
          <t>Aanbevolen</t>
        </is>
      </c>
      <c r="D23" s="10" t="inlineStr">
        <is>
          <t>Social → Facebook</t>
        </is>
      </c>
      <c r="E23" s="11">
        <f>'Facebook Org'!$B$4</f>
        <v/>
      </c>
      <c r="F23" s="11">
        <f>'Facebook Org'!$B$5</f>
        <v/>
      </c>
    </row>
    <row r="24">
      <c r="A24" s="9" t="inlineStr">
        <is>
          <t>Meta Ads campagnes</t>
        </is>
      </c>
      <c r="B24" s="9" t="inlineStr">
        <is>
          <t>facebook</t>
        </is>
      </c>
      <c r="C24" s="9" t="inlineStr">
        <is>
          <t>Aanbevolen</t>
        </is>
      </c>
      <c r="D24" s="10" t="inlineStr">
        <is>
          <t>Ads → Meta (trend, KPI's, funnel) + ROAS</t>
        </is>
      </c>
      <c r="E24" s="11">
        <f>'Meta Ads campagnes'!$B$4</f>
        <v/>
      </c>
      <c r="F24" s="11">
        <f>'Meta Ads campagnes'!$B$5</f>
        <v/>
      </c>
    </row>
    <row r="25">
      <c r="A25" s="9" t="inlineStr">
        <is>
          <t>Meta Ads advertenties</t>
        </is>
      </c>
      <c r="B25" s="9" t="inlineStr">
        <is>
          <t>facebook</t>
        </is>
      </c>
      <c r="C25" s="9" t="inlineStr">
        <is>
          <t>Aanbevolen</t>
        </is>
      </c>
      <c r="D25" s="10" t="inlineStr">
        <is>
          <t>Ads → Meta (advertenties, creatie, video, conversies)</t>
        </is>
      </c>
      <c r="E25" s="11">
        <f>'Meta Ads advertenties'!$B$4</f>
        <v/>
      </c>
      <c r="F25" s="11">
        <f>'Meta Ads advertenties'!$B$5</f>
        <v/>
      </c>
    </row>
    <row r="26">
      <c r="A26" s="9" t="inlineStr">
        <is>
          <t>Meta Ads doelgroep</t>
        </is>
      </c>
      <c r="B26" s="9" t="inlineStr">
        <is>
          <t>facebook</t>
        </is>
      </c>
      <c r="C26" s="9" t="inlineStr">
        <is>
          <t>Optioneel (anders live)</t>
        </is>
      </c>
      <c r="D26" s="10" t="inlineStr">
        <is>
          <t>Ads → Meta doelgroepblok (aandelen)</t>
        </is>
      </c>
      <c r="E26" s="11">
        <f>'Meta Ads doelgroep'!$B$4</f>
        <v/>
      </c>
      <c r="F26" s="11">
        <f>'Meta Ads doelgroep'!$B$5</f>
        <v/>
      </c>
    </row>
    <row r="27">
      <c r="A27" s="9" t="inlineStr">
        <is>
          <t>Meta Ads regio</t>
        </is>
      </c>
      <c r="B27" s="9" t="inlineStr">
        <is>
          <t>facebook</t>
        </is>
      </c>
      <c r="C27" s="9" t="inlineStr">
        <is>
          <t>Optioneel (anders live)</t>
        </is>
      </c>
      <c r="D27" s="10" t="inlineStr">
        <is>
          <t>Ads → Meta regio</t>
        </is>
      </c>
      <c r="E27" s="11">
        <f>'Meta Ads regio'!$B$4</f>
        <v/>
      </c>
      <c r="F27" s="11">
        <f>'Meta Ads regio'!$B$5</f>
        <v/>
      </c>
    </row>
    <row r="28">
      <c r="A28" s="9" t="inlineStr">
        <is>
          <t>Meta Ads asset titel</t>
        </is>
      </c>
      <c r="B28" s="9" t="inlineStr">
        <is>
          <t>facebook</t>
        </is>
      </c>
      <c r="C28" s="9" t="inlineStr">
        <is>
          <t>Optioneel (anders live)</t>
        </is>
      </c>
      <c r="D28" s="10" t="inlineStr">
        <is>
          <t>Ads → Meta creatieve varianten</t>
        </is>
      </c>
      <c r="E28" s="11">
        <f>'Meta Ads asset titel'!$B$4</f>
        <v/>
      </c>
      <c r="F28" s="11">
        <f>'Meta Ads asset titel'!$B$5</f>
        <v/>
      </c>
    </row>
    <row r="29">
      <c r="A29" s="9" t="inlineStr">
        <is>
          <t>Meta Ads asset body</t>
        </is>
      </c>
      <c r="B29" s="9" t="inlineStr">
        <is>
          <t>facebook</t>
        </is>
      </c>
      <c r="C29" s="9" t="inlineStr">
        <is>
          <t>Optioneel (anders live)</t>
        </is>
      </c>
      <c r="D29" s="10" t="inlineStr">
        <is>
          <t>Ads → Meta creatieve varianten</t>
        </is>
      </c>
      <c r="E29" s="11">
        <f>'Meta Ads asset body'!$B$4</f>
        <v/>
      </c>
      <c r="F29" s="11">
        <f>'Meta Ads asset body'!$B$5</f>
        <v/>
      </c>
    </row>
    <row r="30">
      <c r="A30" s="9" t="inlineStr">
        <is>
          <t>Meta Ads asset CTA</t>
        </is>
      </c>
      <c r="B30" s="9" t="inlineStr">
        <is>
          <t>facebook</t>
        </is>
      </c>
      <c r="C30" s="9" t="inlineStr">
        <is>
          <t>Optioneel (anders live)</t>
        </is>
      </c>
      <c r="D30" s="10" t="inlineStr">
        <is>
          <t>Ads → Meta creatieve varianten</t>
        </is>
      </c>
      <c r="E30" s="11">
        <f>'Meta Ads asset CTA'!$B$4</f>
        <v/>
      </c>
      <c r="F30" s="11">
        <f>'Meta Ads asset CTA'!$B$5</f>
        <v/>
      </c>
    </row>
    <row r="31">
      <c r="A31" s="9" t="inlineStr">
        <is>
          <t>Meta Ads asset image</t>
        </is>
      </c>
      <c r="B31" s="9" t="inlineStr">
        <is>
          <t>facebook</t>
        </is>
      </c>
      <c r="C31" s="9" t="inlineStr">
        <is>
          <t>Optioneel (anders live)</t>
        </is>
      </c>
      <c r="D31" s="10" t="inlineStr">
        <is>
          <t>Ads → Meta creatieve varianten</t>
        </is>
      </c>
      <c r="E31" s="11">
        <f>'Meta Ads asset image'!$B$4</f>
        <v/>
      </c>
      <c r="F31" s="11">
        <f>'Meta Ads asset image'!$B$5</f>
        <v/>
      </c>
    </row>
    <row r="32">
      <c r="A32" s="9" t="inlineStr">
        <is>
          <t>Meta Ads asset video</t>
        </is>
      </c>
      <c r="B32" s="9" t="inlineStr">
        <is>
          <t>facebook</t>
        </is>
      </c>
      <c r="C32" s="9" t="inlineStr">
        <is>
          <t>Optioneel (anders live)</t>
        </is>
      </c>
      <c r="D32" s="10" t="inlineStr">
        <is>
          <t>Ads → Meta creatieve varianten</t>
        </is>
      </c>
      <c r="E32" s="11">
        <f>'Meta Ads asset video'!$B$4</f>
        <v/>
      </c>
      <c r="F32" s="11">
        <f>'Meta Ads asset video'!$B$5</f>
        <v/>
      </c>
    </row>
    <row r="33">
      <c r="A33" s="9" t="inlineStr">
        <is>
          <t>GA4 dag</t>
        </is>
      </c>
      <c r="B33" s="9" t="inlineStr">
        <is>
          <t>googleanalytics4</t>
        </is>
      </c>
      <c r="C33" s="9" t="inlineStr">
        <is>
          <t>Aanbevolen</t>
        </is>
      </c>
      <c r="D33" s="10" t="inlineStr">
        <is>
          <t>Website (totalen, dagreeks) + ROAS (GA4-omzet) + Doelen</t>
        </is>
      </c>
      <c r="E33" s="11">
        <f>'GA4 dag'!$B$4</f>
        <v/>
      </c>
      <c r="F33" s="11">
        <f>'GA4 dag'!$B$5</f>
        <v/>
      </c>
    </row>
    <row r="34">
      <c r="A34" s="9" t="inlineStr">
        <is>
          <t>GA4 kanaal</t>
        </is>
      </c>
      <c r="B34" s="9" t="inlineStr">
        <is>
          <t>googleanalytics4</t>
        </is>
      </c>
      <c r="C34" s="9" t="inlineStr">
        <is>
          <t>Aanbevolen</t>
        </is>
      </c>
      <c r="D34" s="10" t="inlineStr">
        <is>
          <t>Website (donut, bronnen) + ROAS-kanaalsplitsing + AI-verkeer</t>
        </is>
      </c>
      <c r="E34" s="11">
        <f>'GA4 kanaal'!$B$4</f>
        <v/>
      </c>
      <c r="F34" s="11">
        <f>'GA4 kanaal'!$B$5</f>
        <v/>
      </c>
    </row>
    <row r="35">
      <c r="A35" s="9" t="inlineStr">
        <is>
          <t>GA4 landing</t>
        </is>
      </c>
      <c r="B35" s="9" t="inlineStr">
        <is>
          <t>googleanalytics4</t>
        </is>
      </c>
      <c r="C35" s="9" t="inlineStr">
        <is>
          <t>Aanbevolen</t>
        </is>
      </c>
      <c r="D35" s="10" t="inlineStr">
        <is>
          <t>Website → landingspagina's</t>
        </is>
      </c>
      <c r="E35" s="11">
        <f>'GA4 landing'!$B$4</f>
        <v/>
      </c>
      <c r="F35" s="11">
        <f>'GA4 landing'!$B$5</f>
        <v/>
      </c>
    </row>
    <row r="36">
      <c r="A36" s="9" t="inlineStr">
        <is>
          <t>GA4 doelgroep</t>
        </is>
      </c>
      <c r="B36" s="9" t="inlineStr">
        <is>
          <t>googleanalytics4</t>
        </is>
      </c>
      <c r="C36" s="9" t="inlineStr">
        <is>
          <t>Alleen klanten zonder Windsor-sleutel</t>
        </is>
      </c>
      <c r="D36" s="10" t="inlineStr">
        <is>
          <t>Website → Doelgroep (dashboard haalt dit normaal live)</t>
        </is>
      </c>
      <c r="E36" s="11">
        <f>'GA4 doelgroep'!$B$4</f>
        <v/>
      </c>
      <c r="F36" s="11">
        <f>'GA4 doelgroep'!$B$5</f>
        <v/>
      </c>
    </row>
    <row r="37">
      <c r="A37" s="9" t="inlineStr">
        <is>
          <t>Search Console dag</t>
        </is>
      </c>
      <c r="B37" s="9" t="inlineStr">
        <is>
          <t>searchconsole</t>
        </is>
      </c>
      <c r="C37" s="9" t="inlineStr">
        <is>
          <t>Aanbevolen</t>
        </is>
      </c>
      <c r="D37" s="10" t="inlineStr">
        <is>
          <t>Website → organisch zoeken (totalen)</t>
        </is>
      </c>
      <c r="E37" s="11">
        <f>'Search Console dag'!$B$4</f>
        <v/>
      </c>
      <c r="F37" s="11">
        <f>'Search Console dag'!$B$5</f>
        <v/>
      </c>
    </row>
    <row r="38">
      <c r="A38" s="9" t="inlineStr">
        <is>
          <t>Search Console query</t>
        </is>
      </c>
      <c r="B38" s="9" t="inlineStr">
        <is>
          <t>searchconsole</t>
        </is>
      </c>
      <c r="C38" s="9" t="inlineStr">
        <is>
          <t>Aanbevolen</t>
        </is>
      </c>
      <c r="D38" s="10" t="inlineStr">
        <is>
          <t>Website → zoekopdrachten</t>
        </is>
      </c>
      <c r="E38" s="11">
        <f>'Search Console query'!$B$4</f>
        <v/>
      </c>
      <c r="F38" s="11">
        <f>'Search Console query'!$B$5</f>
        <v/>
      </c>
    </row>
    <row r="39">
      <c r="A39" s="9" t="inlineStr">
        <is>
          <t>Search Console pagina</t>
        </is>
      </c>
      <c r="B39" s="9" t="inlineStr">
        <is>
          <t>searchconsole</t>
        </is>
      </c>
      <c r="C39" s="9" t="inlineStr">
        <is>
          <t>Optioneel (anders live)</t>
        </is>
      </c>
      <c r="D39" s="10" t="inlineStr">
        <is>
          <t>Website → pagina's</t>
        </is>
      </c>
      <c r="E39" s="11">
        <f>'Search Console pagina'!$B$4</f>
        <v/>
      </c>
      <c r="F39" s="11">
        <f>'Search Console pagina'!$B$5</f>
        <v/>
      </c>
    </row>
    <row r="40">
      <c r="A40" s="9" t="inlineStr">
        <is>
          <t>Google Ads campagnes</t>
        </is>
      </c>
      <c r="B40" s="9" t="inlineStr">
        <is>
          <t>google_ads</t>
        </is>
      </c>
      <c r="C40" s="9" t="inlineStr">
        <is>
          <t>Aanbevolen</t>
        </is>
      </c>
      <c r="D40" s="10" t="inlineStr">
        <is>
          <t>Ads → Google Ads + ROAS</t>
        </is>
      </c>
      <c r="E40" s="11">
        <f>'Google Ads campagnes'!$B$4</f>
        <v/>
      </c>
      <c r="F40" s="11">
        <f>'Google Ads campagnes'!$B$5</f>
        <v/>
      </c>
    </row>
    <row r="41">
      <c r="A41" s="9" t="inlineStr">
        <is>
          <t>Google Ads vertoningsaandeel</t>
        </is>
      </c>
      <c r="B41" s="9" t="inlineStr">
        <is>
          <t>google_ads</t>
        </is>
      </c>
      <c r="C41" s="9" t="inlineStr">
        <is>
          <t>Aanbevolen</t>
        </is>
      </c>
      <c r="D41" s="10" t="inlineStr">
        <is>
          <t>Ads → Google Ads vertoningsaandeel</t>
        </is>
      </c>
      <c r="E41" s="11">
        <f>'Google Ads vertoningsaandeel'!$B$4</f>
        <v/>
      </c>
      <c r="F41" s="11">
        <f>'Google Ads vertoningsaandeel'!$B$5</f>
        <v/>
      </c>
    </row>
    <row r="42">
      <c r="A42" s="9" t="inlineStr">
        <is>
          <t>Google Ads zoektermen</t>
        </is>
      </c>
      <c r="B42" s="9" t="inlineStr">
        <is>
          <t>google_ads</t>
        </is>
      </c>
      <c r="C42" s="9" t="inlineStr">
        <is>
          <t>Aanbevolen</t>
        </is>
      </c>
      <c r="D42" s="10" t="inlineStr">
        <is>
          <t>Ads → Google Ads zoektermen (30 d)</t>
        </is>
      </c>
      <c r="E42" s="11">
        <f>'Google Ads zoektermen'!$B$4</f>
        <v/>
      </c>
      <c r="F42" s="11">
        <f>'Google Ads zoektermen'!$B$5</f>
        <v/>
      </c>
    </row>
    <row r="43">
      <c r="A43" s="9" t="inlineStr">
        <is>
          <t>Google Ads apparaat</t>
        </is>
      </c>
      <c r="B43" s="9" t="inlineStr">
        <is>
          <t>google_ads</t>
        </is>
      </c>
      <c r="C43" s="9" t="inlineStr">
        <is>
          <t>Aanbevolen</t>
        </is>
      </c>
      <c r="D43" s="10" t="inlineStr">
        <is>
          <t>Ads → Google Ads apparaten</t>
        </is>
      </c>
      <c r="E43" s="11">
        <f>'Google Ads apparaat'!$B$4</f>
        <v/>
      </c>
      <c r="F43" s="11">
        <f>'Google Ads apparaat'!$B$5</f>
        <v/>
      </c>
    </row>
    <row r="44">
      <c r="A44" s="9" t="inlineStr">
        <is>
          <t>Google Ads conversieacties</t>
        </is>
      </c>
      <c r="B44" s="9" t="inlineStr">
        <is>
          <t>google_ads</t>
        </is>
      </c>
      <c r="C44" s="9" t="inlineStr">
        <is>
          <t>Aanbevolen</t>
        </is>
      </c>
      <c r="D44" s="10" t="inlineStr">
        <is>
          <t>Ads → Google Ads conversieacties</t>
        </is>
      </c>
      <c r="E44" s="11">
        <f>'Google Ads conversieacties'!$B$4</f>
        <v/>
      </c>
      <c r="F44" s="11">
        <f>'Google Ads conversieacties'!$B$5</f>
        <v/>
      </c>
    </row>
    <row r="45">
      <c r="A45" s="9" t="inlineStr">
        <is>
          <t>Klaviyo</t>
        </is>
      </c>
      <c r="B45" s="9" t="inlineStr">
        <is>
          <t>klaviyo</t>
        </is>
      </c>
      <c r="C45" s="9" t="inlineStr">
        <is>
          <t>Alleen bij Klaviyo</t>
        </is>
      </c>
      <c r="D45" s="10" t="inlineStr">
        <is>
          <t>E-mail</t>
        </is>
      </c>
      <c r="E45" s="11">
        <f>'Klaviyo'!$B$4</f>
        <v/>
      </c>
      <c r="F45" s="11">
        <f>'Klaviyo'!$B$5</f>
        <v/>
      </c>
    </row>
    <row r="46">
      <c r="A46" s="9" t="inlineStr">
        <is>
          <t>Mailerlite</t>
        </is>
      </c>
      <c r="B46" s="9" t="inlineStr">
        <is>
          <t>mailerlite</t>
        </is>
      </c>
      <c r="C46" s="9" t="inlineStr">
        <is>
          <t>Alleen bij Mailerlite</t>
        </is>
      </c>
      <c r="D46" s="10" t="inlineStr">
        <is>
          <t>E-mail</t>
        </is>
      </c>
      <c r="E46" s="11">
        <f>'Mailerlite'!$B$4</f>
        <v/>
      </c>
      <c r="F46" s="11">
        <f>'Mailerlite'!$B$5</f>
        <v/>
      </c>
    </row>
    <row r="47">
      <c r="A47" s="9" t="inlineStr">
        <is>
          <t>Convertkit broadcasts</t>
        </is>
      </c>
      <c r="B47" s="9" t="inlineStr">
        <is>
          <t>convertkit</t>
        </is>
      </c>
      <c r="C47" s="9" t="inlineStr">
        <is>
          <t>Alleen bij ConvertKit</t>
        </is>
      </c>
      <c r="D47" s="10" t="inlineStr">
        <is>
          <t>E-mail</t>
        </is>
      </c>
      <c r="E47" s="11">
        <f>'Convertkit broadcasts'!$B$4</f>
        <v/>
      </c>
      <c r="F47" s="11">
        <f>'Convertkit broadcasts'!$B$5</f>
        <v/>
      </c>
    </row>
    <row r="48">
      <c r="A48" s="9" t="inlineStr">
        <is>
          <t>Convertkit subscribers</t>
        </is>
      </c>
      <c r="B48" s="9" t="inlineStr">
        <is>
          <t>convertkit</t>
        </is>
      </c>
      <c r="C48" s="9" t="inlineStr">
        <is>
          <t>Alleen bij ConvertKit</t>
        </is>
      </c>
      <c r="D48" s="10" t="inlineStr">
        <is>
          <t>E-mail</t>
        </is>
      </c>
      <c r="E48" s="11">
        <f>'Convertkit subscribers'!$B$4</f>
        <v/>
      </c>
      <c r="F48" s="11">
        <f>'Convertkit subscribers'!$B$5</f>
        <v/>
      </c>
    </row>
    <row r="50" ht="30" customHeight="1">
      <c r="A50" s="12" t="inlineStr">
        <is>
          <t>Status: 'Aanbevolen' = het dashboard leest dit blok uit de sheet en gaat alleen live als de tab ontbreekt of de periode niet dekt. 'Optioneel' = zonder tab haalt het dashboard dit blok live op (niet-fataal).</t>
        </is>
      </c>
    </row>
  </sheetData>
  <mergeCells count="4">
    <mergeCell ref="A50:F50"/>
    <mergeCell ref="A19:D19"/>
    <mergeCell ref="A8:D8"/>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0"/>
  <sheetViews>
    <sheetView workbookViewId="0">
      <pane ySplit="11" topLeftCell="A12" activePane="bottomLeft" state="frozen"/>
      <selection pane="bottomLeft" activeCell="A1" sqref="A1"/>
    </sheetView>
  </sheetViews>
  <sheetFormatPr baseColWidth="8" defaultRowHeight="15"/>
  <cols>
    <col width="44" customWidth="1" min="1" max="1"/>
    <col width="62" customWidth="1" min="2" max="2"/>
    <col width="13" customWidth="1" min="3" max="3"/>
    <col hidden="1" width="10" customWidth="1" min="4" max="4"/>
  </cols>
  <sheetData>
    <row r="1">
      <c r="A1" s="13" t="inlineStr">
        <is>
          <t>Windsor-export: Instagram Organic</t>
        </is>
      </c>
      <c r="C1" s="14" t="inlineStr">
        <is>
          <t>Status: Aanbevolen · Social → Instagram</t>
        </is>
      </c>
    </row>
    <row r="2">
      <c r="A2" s="3" t="inlineStr">
        <is>
          <t>Connector</t>
        </is>
      </c>
      <c r="B2" s="6" t="inlineStr">
        <is>
          <t>instagram</t>
        </is>
      </c>
    </row>
    <row r="3">
      <c r="A3" s="3" t="inlineStr">
        <is>
          <t>Account-id (uit Instellingen)</t>
        </is>
      </c>
      <c r="B3" s="15">
        <f>Instellingen!$B$9</f>
        <v/>
      </c>
    </row>
    <row r="4">
      <c r="A4" s="3" t="inlineStr">
        <is>
          <t>Taaknaam (Task name)</t>
        </is>
      </c>
      <c r="B4" s="15">
        <f>"Windsor - Sheets - Instagram Organic - "&amp;Instellingen!$B$3</f>
        <v/>
      </c>
    </row>
    <row r="5">
      <c r="A5" s="3" t="inlineStr">
        <is>
          <t>Tabnaam (Sheet Name)</t>
        </is>
      </c>
      <c r="B5" s="15">
        <f>"Instagram Org - "&amp;Instellingen!$B$3&amp;" - windsor.ai"</f>
        <v/>
      </c>
      <c r="C5" s="12" t="inlineStr">
        <is>
          <t>Herkenning in api/_sheetdata.js gaat op bron + niveau in deze naam; hou het voorstel aan.</t>
        </is>
      </c>
    </row>
    <row r="6">
      <c r="A6" s="3" t="inlineStr">
        <is>
          <t>Columns to Match (rows to replace)</t>
        </is>
      </c>
      <c r="B6" s="6" t="inlineStr">
        <is>
          <t>date</t>
        </is>
      </c>
      <c r="C6" s="12" t="inlineStr">
        <is>
          <t>Voorstel; zoals bij de bestaande exports.</t>
        </is>
      </c>
    </row>
    <row r="7">
      <c r="A7" s="3" t="inlineStr">
        <is>
          <t>Schedule</t>
        </is>
      </c>
      <c r="B7" s="6" t="inlineStr">
        <is>
          <t>Daily · 00:00 UTC · Target Cell A1 · Authentication: Google Account</t>
        </is>
      </c>
    </row>
    <row r="8" ht="90" customHeight="1">
      <c r="A8" s="3" t="inlineStr">
        <is>
          <t>Query (gegenereerd — api_key blijft leeg)</t>
        </is>
      </c>
      <c r="B8" s="16">
        <f>"https://connectors.windsor.ai/"&amp;$B$2&amp;"?api_key="&amp;IF(Instellingen!$B$4&lt;&gt;"","&amp;date_preset="&amp;Instellingen!$B$4,"")&amp;"&amp;fields="&amp;_xlfn.TEXTJOIN(",",TRUE,$D$12:$D$80)&amp;IF($B$3&lt;&gt;"","&amp;select_accounts="&amp;$B$3,"")&amp;IF(Instellingen!$B$5&lt;&gt;"","&amp;_field_headers="&amp;Instellingen!$B$5,"")</f>
        <v/>
      </c>
    </row>
    <row r="9">
      <c r="A9" s="3" t="inlineStr">
        <is>
          <t>Aantal velden in de query</t>
        </is>
      </c>
      <c r="B9" s="17">
        <f>COUNTIF($C$12:$C$80,"x")</f>
        <v/>
      </c>
    </row>
    <row r="11">
      <c r="A11" s="8" t="inlineStr">
        <is>
          <t>Veld (Windsor-id)</t>
        </is>
      </c>
      <c r="B11" s="8" t="inlineStr">
        <is>
          <t>Gebruik in het dashboard</t>
        </is>
      </c>
      <c r="C11" s="8" t="inlineStr">
        <is>
          <t>Opnemen (x)</t>
        </is>
      </c>
      <c r="D11" s="8" t="inlineStr">
        <is>
          <t>→ query</t>
        </is>
      </c>
    </row>
    <row r="12">
      <c r="A12" s="9" t="inlineStr">
        <is>
          <t>date</t>
        </is>
      </c>
      <c r="B12" s="18" t="inlineStr">
        <is>
          <t>Datumkolom: 'Columns to Match' en periodefilter</t>
        </is>
      </c>
      <c r="C12" s="19" t="inlineStr">
        <is>
          <t>x</t>
        </is>
      </c>
      <c r="D12" s="20">
        <f>IF(AND($C12="x",$A12&lt;&gt;""),$A12,"")</f>
        <v/>
      </c>
    </row>
    <row r="13">
      <c r="A13" s="9" t="inlineStr">
        <is>
          <t>account_id</t>
        </is>
      </c>
      <c r="B13" s="18" t="inlineStr">
        <is>
          <t>Accountcontrole: alleen rijen van dit account tellen mee</t>
        </is>
      </c>
      <c r="C13" s="19" t="inlineStr">
        <is>
          <t>x</t>
        </is>
      </c>
      <c r="D13" s="20">
        <f>IF(AND($C13="x",$A13&lt;&gt;""),$A13,"")</f>
        <v/>
      </c>
    </row>
    <row r="14">
      <c r="A14" s="9" t="inlineStr">
        <is>
          <t>account_name</t>
        </is>
      </c>
      <c r="B14" s="18" t="inlineStr">
        <is>
          <t>Idem, leesbaar</t>
        </is>
      </c>
      <c r="C14" s="19" t="inlineStr">
        <is>
          <t>x</t>
        </is>
      </c>
      <c r="D14" s="20">
        <f>IF(AND($C14="x",$A14&lt;&gt;""),$A14,"")</f>
        <v/>
      </c>
    </row>
    <row r="15">
      <c r="A15" s="9" t="inlineStr">
        <is>
          <t>media_id</t>
        </is>
      </c>
      <c r="B15" s="18" t="inlineStr">
        <is>
          <t>Identiteit van de post (verplicht voor de sheet)</t>
        </is>
      </c>
      <c r="C15" s="19" t="inlineStr">
        <is>
          <t>x</t>
        </is>
      </c>
      <c r="D15" s="20">
        <f>IF(AND($C15="x",$A15&lt;&gt;""),$A15,"")</f>
        <v/>
      </c>
    </row>
    <row r="16">
      <c r="A16" s="9" t="inlineStr">
        <is>
          <t>timestamp</t>
        </is>
      </c>
      <c r="B16" s="18" t="inlineStr">
        <is>
          <t>Publicatiedatum (verplicht voor de sheet)</t>
        </is>
      </c>
      <c r="C16" s="19" t="inlineStr">
        <is>
          <t>x</t>
        </is>
      </c>
      <c r="D16" s="20">
        <f>IF(AND($C16="x",$A16&lt;&gt;""),$A16,"")</f>
        <v/>
      </c>
    </row>
    <row r="17">
      <c r="A17" s="9" t="inlineStr">
        <is>
          <t>media_caption</t>
        </is>
      </c>
      <c r="B17" s="18" t="inlineStr">
        <is>
          <t>Caption in de bibliotheek</t>
        </is>
      </c>
      <c r="C17" s="19" t="inlineStr">
        <is>
          <t>x</t>
        </is>
      </c>
      <c r="D17" s="20">
        <f>IF(AND($C17="x",$A17&lt;&gt;""),$A17,"")</f>
        <v/>
      </c>
    </row>
    <row r="18">
      <c r="A18" s="9" t="inlineStr">
        <is>
          <t>media_type</t>
        </is>
      </c>
      <c r="B18" s="18" t="inlineStr">
        <is>
          <t>IMAGE / VIDEO / CAROUSEL_ALBUM</t>
        </is>
      </c>
      <c r="C18" s="19" t="inlineStr">
        <is>
          <t>x</t>
        </is>
      </c>
      <c r="D18" s="20">
        <f>IF(AND($C18="x",$A18&lt;&gt;""),$A18,"")</f>
        <v/>
      </c>
    </row>
    <row r="19">
      <c r="A19" s="9" t="inlineStr">
        <is>
          <t>media_product_type</t>
        </is>
      </c>
      <c r="B19" s="18" t="inlineStr">
        <is>
          <t>FEED / REELS / STORY — stuurt post vs. reel (verplicht)</t>
        </is>
      </c>
      <c r="C19" s="19" t="inlineStr">
        <is>
          <t>x</t>
        </is>
      </c>
      <c r="D19" s="20">
        <f>IF(AND($C19="x",$A19&lt;&gt;""),$A19,"")</f>
        <v/>
      </c>
    </row>
    <row r="20">
      <c r="A20" s="9" t="inlineStr">
        <is>
          <t>media_thumbnail_url</t>
        </is>
      </c>
      <c r="B20" s="18" t="inlineStr">
        <is>
          <t>Thumbnail</t>
        </is>
      </c>
      <c r="C20" s="19" t="inlineStr">
        <is>
          <t>x</t>
        </is>
      </c>
      <c r="D20" s="20">
        <f>IF(AND($C20="x",$A20&lt;&gt;""),$A20,"")</f>
        <v/>
      </c>
    </row>
    <row r="21">
      <c r="A21" s="9" t="inlineStr">
        <is>
          <t>media_url</t>
        </is>
      </c>
      <c r="B21" s="18" t="inlineStr">
        <is>
          <t>Media-URL</t>
        </is>
      </c>
      <c r="C21" s="19" t="inlineStr">
        <is>
          <t>x</t>
        </is>
      </c>
      <c r="D21" s="20">
        <f>IF(AND($C21="x",$A21&lt;&gt;""),$A21,"")</f>
        <v/>
      </c>
    </row>
    <row r="22">
      <c r="A22" s="9" t="inlineStr">
        <is>
          <t>media_permalink</t>
        </is>
      </c>
      <c r="B22" s="18" t="inlineStr">
        <is>
          <t>Link naar de post</t>
        </is>
      </c>
      <c r="C22" s="19" t="inlineStr">
        <is>
          <t>x</t>
        </is>
      </c>
      <c r="D22" s="20">
        <f>IF(AND($C22="x",$A22&lt;&gt;""),$A22,"")</f>
        <v/>
      </c>
    </row>
    <row r="23">
      <c r="A23" s="9" t="inlineStr">
        <is>
          <t>media_like_count</t>
        </is>
      </c>
      <c r="B23" s="18" t="inlineStr">
        <is>
          <t>Likes</t>
        </is>
      </c>
      <c r="C23" s="19" t="inlineStr">
        <is>
          <t>x</t>
        </is>
      </c>
      <c r="D23" s="20">
        <f>IF(AND($C23="x",$A23&lt;&gt;""),$A23,"")</f>
        <v/>
      </c>
    </row>
    <row r="24">
      <c r="A24" s="9" t="inlineStr">
        <is>
          <t>media_comments_count</t>
        </is>
      </c>
      <c r="B24" s="18" t="inlineStr">
        <is>
          <t>Reacties</t>
        </is>
      </c>
      <c r="C24" s="19" t="inlineStr">
        <is>
          <t>x</t>
        </is>
      </c>
      <c r="D24" s="20">
        <f>IF(AND($C24="x",$A24&lt;&gt;""),$A24,"")</f>
        <v/>
      </c>
    </row>
    <row r="25">
      <c r="A25" s="9" t="inlineStr">
        <is>
          <t>media_reach</t>
        </is>
      </c>
      <c r="B25" s="18" t="inlineStr">
        <is>
          <t>Bereik per post</t>
        </is>
      </c>
      <c r="C25" s="19" t="inlineStr">
        <is>
          <t>x</t>
        </is>
      </c>
      <c r="D25" s="20">
        <f>IF(AND($C25="x",$A25&lt;&gt;""),$A25,"")</f>
        <v/>
      </c>
    </row>
    <row r="26">
      <c r="A26" s="9" t="inlineStr">
        <is>
          <t>media_views</t>
        </is>
      </c>
      <c r="B26" s="18" t="inlineStr">
        <is>
          <t>Weergaven</t>
        </is>
      </c>
      <c r="C26" s="19" t="inlineStr">
        <is>
          <t>x</t>
        </is>
      </c>
      <c r="D26" s="20">
        <f>IF(AND($C26="x",$A26&lt;&gt;""),$A26,"")</f>
        <v/>
      </c>
    </row>
    <row r="27">
      <c r="A27" s="9" t="inlineStr">
        <is>
          <t>media_saved</t>
        </is>
      </c>
      <c r="B27" s="18" t="inlineStr">
        <is>
          <t>Opgeslagen</t>
        </is>
      </c>
      <c r="C27" s="19" t="inlineStr">
        <is>
          <t>x</t>
        </is>
      </c>
      <c r="D27" s="20">
        <f>IF(AND($C27="x",$A27&lt;&gt;""),$A27,"")</f>
        <v/>
      </c>
    </row>
    <row r="28">
      <c r="A28" s="9" t="inlineStr">
        <is>
          <t>media_shares</t>
        </is>
      </c>
      <c r="B28" s="18" t="inlineStr">
        <is>
          <t>Gedeeld</t>
        </is>
      </c>
      <c r="C28" s="19" t="inlineStr">
        <is>
          <t>x</t>
        </is>
      </c>
      <c r="D28" s="20">
        <f>IF(AND($C28="x",$A28&lt;&gt;""),$A28,"")</f>
        <v/>
      </c>
    </row>
    <row r="29">
      <c r="A29" s="9" t="inlineStr">
        <is>
          <t>media_engagement</t>
        </is>
      </c>
      <c r="B29" s="18" t="inlineStr">
        <is>
          <t>Engagement (KPI + benchmark)</t>
        </is>
      </c>
      <c r="C29" s="19" t="inlineStr">
        <is>
          <t>x</t>
        </is>
      </c>
      <c r="D29" s="20">
        <f>IF(AND($C29="x",$A29&lt;&gt;""),$A29,"")</f>
        <v/>
      </c>
    </row>
    <row r="30">
      <c r="A30" s="9" t="inlineStr">
        <is>
          <t>media_reel_total_watch_time</t>
        </is>
      </c>
      <c r="B30" s="18" t="inlineStr">
        <is>
          <t>Reels: totale kijktijd</t>
        </is>
      </c>
      <c r="C30" s="19" t="inlineStr">
        <is>
          <t>x</t>
        </is>
      </c>
      <c r="D30" s="20">
        <f>IF(AND($C30="x",$A30&lt;&gt;""),$A30,"")</f>
        <v/>
      </c>
    </row>
    <row r="31">
      <c r="A31" s="9" t="inlineStr">
        <is>
          <t>media_reel_avg_watch_time</t>
        </is>
      </c>
      <c r="B31" s="18" t="inlineStr">
        <is>
          <t>Reels: gemiddelde kijktijd</t>
        </is>
      </c>
      <c r="C31" s="19" t="inlineStr">
        <is>
          <t>x</t>
        </is>
      </c>
      <c r="D31" s="20">
        <f>IF(AND($C31="x",$A31&lt;&gt;""),$A31,"")</f>
        <v/>
      </c>
    </row>
    <row r="32">
      <c r="A32" s="9" t="inlineStr">
        <is>
          <t>media_reel_total_interactions</t>
        </is>
      </c>
      <c r="B32" s="18" t="inlineStr">
        <is>
          <t>Reels: interacties</t>
        </is>
      </c>
      <c r="C32" s="19" t="inlineStr">
        <is>
          <t>x</t>
        </is>
      </c>
      <c r="D32" s="20">
        <f>IF(AND($C32="x",$A32&lt;&gt;""),$A32,"")</f>
        <v/>
      </c>
    </row>
    <row r="33">
      <c r="A33" s="9" t="inlineStr">
        <is>
          <t>followers_count</t>
        </is>
      </c>
      <c r="B33" s="18" t="inlineStr">
        <is>
          <t>Optioneel: volgers (niet gebruikt door het dashboard)</t>
        </is>
      </c>
      <c r="C33" s="19" t="n"/>
      <c r="D33" s="20">
        <f>IF(AND($C33="x",$A33&lt;&gt;""),$A33,"")</f>
        <v/>
      </c>
    </row>
    <row r="34">
      <c r="A34" s="9" t="inlineStr">
        <is>
          <t>source</t>
        </is>
      </c>
      <c r="B34" s="18" t="inlineStr">
        <is>
          <t>Optioneel: bron (niet gebruikt)</t>
        </is>
      </c>
      <c r="C34" s="19" t="n"/>
      <c r="D34" s="20">
        <f>IF(AND($C34="x",$A34&lt;&gt;""),$A34,"")</f>
        <v/>
      </c>
    </row>
    <row r="35">
      <c r="A35" s="9" t="inlineStr">
        <is>
          <t>media_profile_visits</t>
        </is>
      </c>
      <c r="B35" s="18" t="inlineStr">
        <is>
          <t>Optioneel: profielbezoeken (niet gebruikt)</t>
        </is>
      </c>
      <c r="C35" s="19" t="n"/>
      <c r="D35" s="20">
        <f>IF(AND($C35="x",$A35&lt;&gt;""),$A35,"")</f>
        <v/>
      </c>
    </row>
    <row r="36">
      <c r="A36" s="9" t="inlineStr">
        <is>
          <t>media_shortcode</t>
        </is>
      </c>
      <c r="B36" s="18" t="inlineStr">
        <is>
          <t>Optioneel: shortcode (niet gebruikt)</t>
        </is>
      </c>
      <c r="C36" s="19" t="n"/>
      <c r="D36" s="20">
        <f>IF(AND($C36="x",$A36&lt;&gt;""),$A36,"")</f>
        <v/>
      </c>
    </row>
    <row r="37">
      <c r="A37" s="14" t="inlineStr">
        <is>
          <t>Eigen veld toevoegen: zet hieronder het Windsor-veld-id in kolom A en een x in kolom C (tot rij 80).</t>
        </is>
      </c>
    </row>
    <row r="38">
      <c r="A38" s="21" t="n"/>
      <c r="C38" s="21" t="n"/>
      <c r="D38" s="20">
        <f>IF(AND($C38="x",$A38&lt;&gt;""),$A38,"")</f>
        <v/>
      </c>
    </row>
    <row r="39">
      <c r="A39" s="21" t="n"/>
      <c r="C39" s="21" t="n"/>
      <c r="D39" s="20">
        <f>IF(AND($C39="x",$A39&lt;&gt;""),$A39,"")</f>
        <v/>
      </c>
    </row>
    <row r="40">
      <c r="A40" s="21" t="n"/>
      <c r="C40" s="21" t="n"/>
      <c r="D40" s="20">
        <f>IF(AND($C40="x",$A40&lt;&gt;""),$A40,"")</f>
        <v/>
      </c>
    </row>
    <row r="41">
      <c r="A41" s="21" t="n"/>
      <c r="C41" s="21" t="n"/>
      <c r="D41" s="20">
        <f>IF(AND($C41="x",$A41&lt;&gt;""),$A41,"")</f>
        <v/>
      </c>
    </row>
    <row r="42">
      <c r="A42" s="21" t="n"/>
      <c r="C42" s="21" t="n"/>
      <c r="D42" s="20">
        <f>IF(AND($C42="x",$A42&lt;&gt;""),$A42,"")</f>
        <v/>
      </c>
    </row>
    <row r="43">
      <c r="A43" s="21" t="n"/>
      <c r="C43" s="21" t="n"/>
      <c r="D43" s="20">
        <f>IF(AND($C43="x",$A43&lt;&gt;""),$A43,"")</f>
        <v/>
      </c>
    </row>
    <row r="44">
      <c r="A44" s="21" t="n"/>
      <c r="C44" s="21" t="n"/>
      <c r="D44" s="20">
        <f>IF(AND($C44="x",$A44&lt;&gt;""),$A44,"")</f>
        <v/>
      </c>
    </row>
    <row r="45">
      <c r="A45" s="21" t="n"/>
      <c r="C45" s="21" t="n"/>
      <c r="D45" s="20">
        <f>IF(AND($C45="x",$A45&lt;&gt;""),$A45,"")</f>
        <v/>
      </c>
    </row>
    <row r="46">
      <c r="A46" s="21" t="n"/>
      <c r="C46" s="21" t="n"/>
      <c r="D46" s="20">
        <f>IF(AND($C46="x",$A46&lt;&gt;""),$A46,"")</f>
        <v/>
      </c>
    </row>
    <row r="47">
      <c r="A47" s="21" t="n"/>
      <c r="C47" s="21" t="n"/>
      <c r="D47" s="20">
        <f>IF(AND($C47="x",$A47&lt;&gt;""),$A47,"")</f>
        <v/>
      </c>
    </row>
    <row r="48">
      <c r="A48" s="21" t="n"/>
      <c r="C48" s="21" t="n"/>
      <c r="D48" s="20">
        <f>IF(AND($C48="x",$A48&lt;&gt;""),$A48,"")</f>
        <v/>
      </c>
    </row>
    <row r="49">
      <c r="A49" s="21" t="n"/>
      <c r="C49" s="21" t="n"/>
      <c r="D49" s="20">
        <f>IF(AND($C49="x",$A49&lt;&gt;""),$A49,"")</f>
        <v/>
      </c>
    </row>
    <row r="50">
      <c r="A50" s="21" t="n"/>
      <c r="C50" s="21" t="n"/>
      <c r="D50" s="20">
        <f>IF(AND($C50="x",$A50&lt;&gt;""),$A50,"")</f>
        <v/>
      </c>
    </row>
    <row r="51">
      <c r="A51" s="21" t="n"/>
      <c r="C51" s="21" t="n"/>
      <c r="D51" s="20">
        <f>IF(AND($C51="x",$A51&lt;&gt;""),$A51,"")</f>
        <v/>
      </c>
    </row>
    <row r="52">
      <c r="A52" s="21" t="n"/>
      <c r="C52" s="21" t="n"/>
      <c r="D52" s="20">
        <f>IF(AND($C52="x",$A52&lt;&gt;""),$A52,"")</f>
        <v/>
      </c>
    </row>
    <row r="53">
      <c r="A53" s="21" t="n"/>
      <c r="C53" s="21" t="n"/>
      <c r="D53" s="20">
        <f>IF(AND($C53="x",$A53&lt;&gt;""),$A53,"")</f>
        <v/>
      </c>
    </row>
    <row r="54">
      <c r="A54" s="21" t="n"/>
      <c r="C54" s="21" t="n"/>
      <c r="D54" s="20">
        <f>IF(AND($C54="x",$A54&lt;&gt;""),$A54,"")</f>
        <v/>
      </c>
    </row>
    <row r="55">
      <c r="A55" s="21" t="n"/>
      <c r="C55" s="21" t="n"/>
      <c r="D55" s="20">
        <f>IF(AND($C55="x",$A55&lt;&gt;""),$A55,"")</f>
        <v/>
      </c>
    </row>
    <row r="56">
      <c r="A56" s="21" t="n"/>
      <c r="C56" s="21" t="n"/>
      <c r="D56" s="20">
        <f>IF(AND($C56="x",$A56&lt;&gt;""),$A56,"")</f>
        <v/>
      </c>
    </row>
    <row r="57">
      <c r="A57" s="21" t="n"/>
      <c r="C57" s="21" t="n"/>
      <c r="D57" s="20">
        <f>IF(AND($C57="x",$A57&lt;&gt;""),$A57,"")</f>
        <v/>
      </c>
    </row>
    <row r="58">
      <c r="A58" s="21" t="n"/>
      <c r="C58" s="21" t="n"/>
      <c r="D58" s="20">
        <f>IF(AND($C58="x",$A58&lt;&gt;""),$A58,"")</f>
        <v/>
      </c>
    </row>
    <row r="59">
      <c r="A59" s="21" t="n"/>
      <c r="C59" s="21" t="n"/>
      <c r="D59" s="20">
        <f>IF(AND($C59="x",$A59&lt;&gt;""),$A59,"")</f>
        <v/>
      </c>
    </row>
    <row r="60">
      <c r="A60" s="21" t="n"/>
      <c r="C60" s="21" t="n"/>
      <c r="D60" s="20">
        <f>IF(AND($C60="x",$A60&lt;&gt;""),$A60,"")</f>
        <v/>
      </c>
    </row>
    <row r="61">
      <c r="A61" s="21" t="n"/>
      <c r="C61" s="21" t="n"/>
      <c r="D61" s="20">
        <f>IF(AND($C61="x",$A61&lt;&gt;""),$A61,"")</f>
        <v/>
      </c>
    </row>
    <row r="62">
      <c r="A62" s="21" t="n"/>
      <c r="C62" s="21" t="n"/>
      <c r="D62" s="20">
        <f>IF(AND($C62="x",$A62&lt;&gt;""),$A62,"")</f>
        <v/>
      </c>
    </row>
    <row r="63">
      <c r="A63" s="21" t="n"/>
      <c r="C63" s="21" t="n"/>
      <c r="D63" s="20">
        <f>IF(AND($C63="x",$A63&lt;&gt;""),$A63,"")</f>
        <v/>
      </c>
    </row>
    <row r="64">
      <c r="A64" s="21" t="n"/>
      <c r="C64" s="21" t="n"/>
      <c r="D64" s="20">
        <f>IF(AND($C64="x",$A64&lt;&gt;""),$A64,"")</f>
        <v/>
      </c>
    </row>
    <row r="65">
      <c r="A65" s="21" t="n"/>
      <c r="C65" s="21" t="n"/>
      <c r="D65" s="20">
        <f>IF(AND($C65="x",$A65&lt;&gt;""),$A65,"")</f>
        <v/>
      </c>
    </row>
    <row r="66">
      <c r="A66" s="21" t="n"/>
      <c r="C66" s="21" t="n"/>
      <c r="D66" s="20">
        <f>IF(AND($C66="x",$A66&lt;&gt;""),$A66,"")</f>
        <v/>
      </c>
    </row>
    <row r="67">
      <c r="A67" s="21" t="n"/>
      <c r="C67" s="21" t="n"/>
      <c r="D67" s="20">
        <f>IF(AND($C67="x",$A67&lt;&gt;""),$A67,"")</f>
        <v/>
      </c>
    </row>
    <row r="68">
      <c r="A68" s="21" t="n"/>
      <c r="C68" s="21" t="n"/>
      <c r="D68" s="20">
        <f>IF(AND($C68="x",$A68&lt;&gt;""),$A68,"")</f>
        <v/>
      </c>
    </row>
    <row r="69">
      <c r="A69" s="21" t="n"/>
      <c r="C69" s="21" t="n"/>
      <c r="D69" s="20">
        <f>IF(AND($C69="x",$A69&lt;&gt;""),$A69,"")</f>
        <v/>
      </c>
    </row>
    <row r="70">
      <c r="A70" s="21" t="n"/>
      <c r="C70" s="21" t="n"/>
      <c r="D70" s="20">
        <f>IF(AND($C70="x",$A70&lt;&gt;""),$A70,"")</f>
        <v/>
      </c>
    </row>
    <row r="71">
      <c r="A71" s="21" t="n"/>
      <c r="C71" s="21" t="n"/>
      <c r="D71" s="20">
        <f>IF(AND($C71="x",$A71&lt;&gt;""),$A71,"")</f>
        <v/>
      </c>
    </row>
    <row r="72">
      <c r="A72" s="21" t="n"/>
      <c r="C72" s="21" t="n"/>
      <c r="D72" s="20">
        <f>IF(AND($C72="x",$A72&lt;&gt;""),$A72,"")</f>
        <v/>
      </c>
    </row>
    <row r="73">
      <c r="A73" s="21" t="n"/>
      <c r="C73" s="21" t="n"/>
      <c r="D73" s="20">
        <f>IF(AND($C73="x",$A73&lt;&gt;""),$A73,"")</f>
        <v/>
      </c>
    </row>
    <row r="74">
      <c r="A74" s="21" t="n"/>
      <c r="C74" s="21" t="n"/>
      <c r="D74" s="20">
        <f>IF(AND($C74="x",$A74&lt;&gt;""),$A74,"")</f>
        <v/>
      </c>
    </row>
    <row r="75">
      <c r="A75" s="21" t="n"/>
      <c r="C75" s="21" t="n"/>
      <c r="D75" s="20">
        <f>IF(AND($C75="x",$A75&lt;&gt;""),$A75,"")</f>
        <v/>
      </c>
    </row>
    <row r="76">
      <c r="A76" s="21" t="n"/>
      <c r="C76" s="21" t="n"/>
      <c r="D76" s="20">
        <f>IF(AND($C76="x",$A76&lt;&gt;""),$A76,"")</f>
        <v/>
      </c>
    </row>
    <row r="77">
      <c r="A77" s="21" t="n"/>
      <c r="C77" s="21" t="n"/>
      <c r="D77" s="20">
        <f>IF(AND($C77="x",$A77&lt;&gt;""),$A77,"")</f>
        <v/>
      </c>
    </row>
    <row r="78">
      <c r="A78" s="21" t="n"/>
      <c r="C78" s="21" t="n"/>
      <c r="D78" s="20">
        <f>IF(AND($C78="x",$A78&lt;&gt;""),$A78,"")</f>
        <v/>
      </c>
    </row>
    <row r="79">
      <c r="A79" s="21" t="n"/>
      <c r="C79" s="21" t="n"/>
      <c r="D79" s="20">
        <f>IF(AND($C79="x",$A79&lt;&gt;""),$A79,"")</f>
        <v/>
      </c>
    </row>
    <row r="80">
      <c r="A80" s="21" t="n"/>
      <c r="C80" s="21" t="n"/>
      <c r="D80" s="20">
        <f>IF(AND($C80="x",$A80&lt;&gt;""),$A80,"")</f>
        <v/>
      </c>
    </row>
  </sheetData>
  <mergeCells count="2">
    <mergeCell ref="A37:C37"/>
    <mergeCell ref="B8:D8"/>
  </mergeCells>
  <dataValidations count="1">
    <dataValidation sqref="C12 C13 C14 C15 C16 C17 C18 C19 C20 C21 C22 C23 C24 C25 C26 C27 C28 C29 C30 C31 C32 C33 C34 C35 C36 C37 C38 C39 C40 C41 C42 C43 C44 C45 C46 C47 C48 C49 C50 C51 C52 C53 C54 C55 C56 C57 C58 C59 C60 C61 C62 C63 C64 C65 C66 C67 C68 C69 C70 C71 C72 C73 C74 C75 C76 C77 C78 C79 C80" showDropDown="0" showInputMessage="0" showErrorMessage="1" allowBlank="1" errorTitle="Alleen x" error="Zet een x om het veld op te nemen, of laat de cel leeg." type="list">
      <formula1>"x"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0"/>
  <sheetViews>
    <sheetView workbookViewId="0">
      <pane ySplit="11" topLeftCell="A12" activePane="bottomLeft" state="frozen"/>
      <selection pane="bottomLeft" activeCell="A1" sqref="A1"/>
    </sheetView>
  </sheetViews>
  <sheetFormatPr baseColWidth="8" defaultRowHeight="15"/>
  <cols>
    <col width="44" customWidth="1" min="1" max="1"/>
    <col width="62" customWidth="1" min="2" max="2"/>
    <col width="13" customWidth="1" min="3" max="3"/>
    <col hidden="1" width="10" customWidth="1" min="4" max="4"/>
  </cols>
  <sheetData>
    <row r="1">
      <c r="A1" s="13" t="inlineStr">
        <is>
          <t>Windsor-export: Facebook Organic</t>
        </is>
      </c>
      <c r="C1" s="14" t="inlineStr">
        <is>
          <t>Status: Aanbevolen · Social → Facebook</t>
        </is>
      </c>
    </row>
    <row r="2">
      <c r="A2" s="3" t="inlineStr">
        <is>
          <t>Connector</t>
        </is>
      </c>
      <c r="B2" s="6" t="inlineStr">
        <is>
          <t>facebook_organic</t>
        </is>
      </c>
    </row>
    <row r="3">
      <c r="A3" s="3" t="inlineStr">
        <is>
          <t>Account-id (uit Instellingen)</t>
        </is>
      </c>
      <c r="B3" s="15">
        <f>Instellingen!$B$10</f>
        <v/>
      </c>
    </row>
    <row r="4">
      <c r="A4" s="3" t="inlineStr">
        <is>
          <t>Taaknaam (Task name)</t>
        </is>
      </c>
      <c r="B4" s="15">
        <f>"Windsor - Sheets - Facebook Organic - "&amp;Instellingen!$B$3</f>
        <v/>
      </c>
    </row>
    <row r="5">
      <c r="A5" s="3" t="inlineStr">
        <is>
          <t>Tabnaam (Sheet Name)</t>
        </is>
      </c>
      <c r="B5" s="15">
        <f>"Facebook Org - "&amp;Instellingen!$B$3&amp;" - windsor.ai"</f>
        <v/>
      </c>
      <c r="C5" s="12" t="inlineStr">
        <is>
          <t>Herkenning in api/_sheetdata.js gaat op bron + niveau in deze naam; hou het voorstel aan.</t>
        </is>
      </c>
    </row>
    <row r="6">
      <c r="A6" s="3" t="inlineStr">
        <is>
          <t>Columns to Match (rows to replace)</t>
        </is>
      </c>
      <c r="B6" s="6" t="inlineStr">
        <is>
          <t>date</t>
        </is>
      </c>
      <c r="C6" s="12" t="inlineStr">
        <is>
          <t>Voorstel; zoals bij de bestaande exports.</t>
        </is>
      </c>
    </row>
    <row r="7">
      <c r="A7" s="3" t="inlineStr">
        <is>
          <t>Schedule</t>
        </is>
      </c>
      <c r="B7" s="6" t="inlineStr">
        <is>
          <t>Daily · 00:00 UTC · Target Cell A1 · Authentication: Google Account</t>
        </is>
      </c>
    </row>
    <row r="8" ht="90" customHeight="1">
      <c r="A8" s="3" t="inlineStr">
        <is>
          <t>Query (gegenereerd — api_key blijft leeg)</t>
        </is>
      </c>
      <c r="B8" s="16">
        <f>"https://connectors.windsor.ai/"&amp;$B$2&amp;"?api_key="&amp;IF(Instellingen!$B$4&lt;&gt;"","&amp;date_preset="&amp;Instellingen!$B$4,"")&amp;"&amp;fields="&amp;_xlfn.TEXTJOIN(",",TRUE,$D$12:$D$80)&amp;IF($B$3&lt;&gt;"","&amp;select_accounts="&amp;$B$3,"")&amp;IF(Instellingen!$B$5&lt;&gt;"","&amp;_field_headers="&amp;Instellingen!$B$5,"")</f>
        <v/>
      </c>
    </row>
    <row r="9">
      <c r="A9" s="3" t="inlineStr">
        <is>
          <t>Aantal velden in de query</t>
        </is>
      </c>
      <c r="B9" s="17">
        <f>COUNTIF($C$12:$C$80,"x")</f>
        <v/>
      </c>
    </row>
    <row r="11">
      <c r="A11" s="8" t="inlineStr">
        <is>
          <t>Veld (Windsor-id)</t>
        </is>
      </c>
      <c r="B11" s="8" t="inlineStr">
        <is>
          <t>Gebruik in het dashboard</t>
        </is>
      </c>
      <c r="C11" s="8" t="inlineStr">
        <is>
          <t>Opnemen (x)</t>
        </is>
      </c>
      <c r="D11" s="8" t="inlineStr">
        <is>
          <t>→ query</t>
        </is>
      </c>
    </row>
    <row r="12">
      <c r="A12" s="9" t="inlineStr">
        <is>
          <t>date</t>
        </is>
      </c>
      <c r="B12" s="18" t="inlineStr">
        <is>
          <t>Datumkolom: 'Columns to Match' en periodefilter</t>
        </is>
      </c>
      <c r="C12" s="19" t="inlineStr">
        <is>
          <t>x</t>
        </is>
      </c>
      <c r="D12" s="20">
        <f>IF(AND($C12="x",$A12&lt;&gt;""),$A12,"")</f>
        <v/>
      </c>
    </row>
    <row r="13">
      <c r="A13" s="9" t="inlineStr">
        <is>
          <t>account_id</t>
        </is>
      </c>
      <c r="B13" s="18" t="inlineStr">
        <is>
          <t>Accountcontrole: alleen rijen van dit account tellen mee</t>
        </is>
      </c>
      <c r="C13" s="19" t="inlineStr">
        <is>
          <t>x</t>
        </is>
      </c>
      <c r="D13" s="20">
        <f>IF(AND($C13="x",$A13&lt;&gt;""),$A13,"")</f>
        <v/>
      </c>
    </row>
    <row r="14">
      <c r="A14" s="9" t="inlineStr">
        <is>
          <t>account_name</t>
        </is>
      </c>
      <c r="B14" s="18" t="inlineStr">
        <is>
          <t>Idem, leesbaar</t>
        </is>
      </c>
      <c r="C14" s="19" t="inlineStr">
        <is>
          <t>x</t>
        </is>
      </c>
      <c r="D14" s="20">
        <f>IF(AND($C14="x",$A14&lt;&gt;""),$A14,"")</f>
        <v/>
      </c>
    </row>
    <row r="15">
      <c r="A15" s="9" t="inlineStr">
        <is>
          <t>post_id</t>
        </is>
      </c>
      <c r="B15" s="18" t="inlineStr">
        <is>
          <t>Identiteit van de post (verplicht)</t>
        </is>
      </c>
      <c r="C15" s="19" t="inlineStr">
        <is>
          <t>x</t>
        </is>
      </c>
      <c r="D15" s="20">
        <f>IF(AND($C15="x",$A15&lt;&gt;""),$A15,"")</f>
        <v/>
      </c>
    </row>
    <row r="16">
      <c r="A16" s="9" t="inlineStr">
        <is>
          <t>post_created_time</t>
        </is>
      </c>
      <c r="B16" s="18" t="inlineStr">
        <is>
          <t>Publicatiedatum (verplicht)</t>
        </is>
      </c>
      <c r="C16" s="19" t="inlineStr">
        <is>
          <t>x</t>
        </is>
      </c>
      <c r="D16" s="20">
        <f>IF(AND($C16="x",$A16&lt;&gt;""),$A16,"")</f>
        <v/>
      </c>
    </row>
    <row r="17">
      <c r="A17" s="9" t="inlineStr">
        <is>
          <t>type</t>
        </is>
      </c>
      <c r="B17" s="18" t="inlineStr">
        <is>
          <t>photo / album / video_inline / video_direct_response — reels = video</t>
        </is>
      </c>
      <c r="C17" s="19" t="inlineStr">
        <is>
          <t>x</t>
        </is>
      </c>
      <c r="D17" s="20">
        <f>IF(AND($C17="x",$A17&lt;&gt;""),$A17,"")</f>
        <v/>
      </c>
    </row>
    <row r="18">
      <c r="A18" s="9" t="inlineStr">
        <is>
          <t>post_message</t>
        </is>
      </c>
      <c r="B18" s="18" t="inlineStr">
        <is>
          <t>Tekst van de post</t>
        </is>
      </c>
      <c r="C18" s="19" t="inlineStr">
        <is>
          <t>x</t>
        </is>
      </c>
      <c r="D18" s="20">
        <f>IF(AND($C18="x",$A18&lt;&gt;""),$A18,"")</f>
        <v/>
      </c>
    </row>
    <row r="19">
      <c r="A19" s="9" t="inlineStr">
        <is>
          <t>permalink_url</t>
        </is>
      </c>
      <c r="B19" s="18" t="inlineStr">
        <is>
          <t>Link</t>
        </is>
      </c>
      <c r="C19" s="19" t="inlineStr">
        <is>
          <t>x</t>
        </is>
      </c>
      <c r="D19" s="20">
        <f>IF(AND($C19="x",$A19&lt;&gt;""),$A19,"")</f>
        <v/>
      </c>
    </row>
    <row r="20">
      <c r="A20" s="9" t="inlineStr">
        <is>
          <t>full_picture</t>
        </is>
      </c>
      <c r="B20" s="18" t="inlineStr">
        <is>
          <t>Afbeelding</t>
        </is>
      </c>
      <c r="C20" s="19" t="inlineStr">
        <is>
          <t>x</t>
        </is>
      </c>
      <c r="D20" s="20">
        <f>IF(AND($C20="x",$A20&lt;&gt;""),$A20,"")</f>
        <v/>
      </c>
    </row>
    <row r="21">
      <c r="A21" s="9" t="inlineStr">
        <is>
          <t>post_impressions</t>
        </is>
      </c>
      <c r="B21" s="18" t="inlineStr">
        <is>
          <t>Vertoningen</t>
        </is>
      </c>
      <c r="C21" s="19" t="inlineStr">
        <is>
          <t>x</t>
        </is>
      </c>
      <c r="D21" s="20">
        <f>IF(AND($C21="x",$A21&lt;&gt;""),$A21,"")</f>
        <v/>
      </c>
    </row>
    <row r="22">
      <c r="A22" s="9" t="inlineStr">
        <is>
          <t>post_impressions_unique</t>
        </is>
      </c>
      <c r="B22" s="18" t="inlineStr">
        <is>
          <t>Bereik</t>
        </is>
      </c>
      <c r="C22" s="19" t="inlineStr">
        <is>
          <t>x</t>
        </is>
      </c>
      <c r="D22" s="20">
        <f>IF(AND($C22="x",$A22&lt;&gt;""),$A22,"")</f>
        <v/>
      </c>
    </row>
    <row r="23">
      <c r="A23" s="9" t="inlineStr">
        <is>
          <t>post_reactions_total</t>
        </is>
      </c>
      <c r="B23" s="18" t="inlineStr">
        <is>
          <t>Reacties (likes e.d.)</t>
        </is>
      </c>
      <c r="C23" s="19" t="inlineStr">
        <is>
          <t>x</t>
        </is>
      </c>
      <c r="D23" s="20">
        <f>IF(AND($C23="x",$A23&lt;&gt;""),$A23,"")</f>
        <v/>
      </c>
    </row>
    <row r="24">
      <c r="A24" s="9" t="inlineStr">
        <is>
          <t>post_comments_total</t>
        </is>
      </c>
      <c r="B24" s="18" t="inlineStr">
        <is>
          <t>Opmerkingen</t>
        </is>
      </c>
      <c r="C24" s="19" t="inlineStr">
        <is>
          <t>x</t>
        </is>
      </c>
      <c r="D24" s="20">
        <f>IF(AND($C24="x",$A24&lt;&gt;""),$A24,"")</f>
        <v/>
      </c>
    </row>
    <row r="25">
      <c r="A25" s="9" t="inlineStr">
        <is>
          <t>post_activity_by_action_type_share</t>
        </is>
      </c>
      <c r="B25" s="18" t="inlineStr">
        <is>
          <t>Gedeeld</t>
        </is>
      </c>
      <c r="C25" s="19" t="inlineStr">
        <is>
          <t>x</t>
        </is>
      </c>
      <c r="D25" s="20">
        <f>IF(AND($C25="x",$A25&lt;&gt;""),$A25,"")</f>
        <v/>
      </c>
    </row>
    <row r="26">
      <c r="A26" s="9" t="inlineStr">
        <is>
          <t>post_video_views</t>
        </is>
      </c>
      <c r="B26" s="18" t="inlineStr">
        <is>
          <t>Videoweergaven</t>
        </is>
      </c>
      <c r="C26" s="19" t="inlineStr">
        <is>
          <t>x</t>
        </is>
      </c>
      <c r="D26" s="20">
        <f>IF(AND($C26="x",$A26&lt;&gt;""),$A26,"")</f>
        <v/>
      </c>
    </row>
    <row r="27">
      <c r="A27" s="14" t="inlineStr">
        <is>
          <t>Eigen veld toevoegen: zet hieronder het Windsor-veld-id in kolom A en een x in kolom C (tot rij 80).</t>
        </is>
      </c>
    </row>
    <row r="28">
      <c r="A28" s="21" t="n"/>
      <c r="C28" s="21" t="n"/>
      <c r="D28" s="20">
        <f>IF(AND($C28="x",$A28&lt;&gt;""),$A28,"")</f>
        <v/>
      </c>
    </row>
    <row r="29">
      <c r="A29" s="21" t="n"/>
      <c r="C29" s="21" t="n"/>
      <c r="D29" s="20">
        <f>IF(AND($C29="x",$A29&lt;&gt;""),$A29,"")</f>
        <v/>
      </c>
    </row>
    <row r="30">
      <c r="A30" s="21" t="n"/>
      <c r="C30" s="21" t="n"/>
      <c r="D30" s="20">
        <f>IF(AND($C30="x",$A30&lt;&gt;""),$A30,"")</f>
        <v/>
      </c>
    </row>
    <row r="31">
      <c r="A31" s="21" t="n"/>
      <c r="C31" s="21" t="n"/>
      <c r="D31" s="20">
        <f>IF(AND($C31="x",$A31&lt;&gt;""),$A31,"")</f>
        <v/>
      </c>
    </row>
    <row r="32">
      <c r="A32" s="21" t="n"/>
      <c r="C32" s="21" t="n"/>
      <c r="D32" s="20">
        <f>IF(AND($C32="x",$A32&lt;&gt;""),$A32,"")</f>
        <v/>
      </c>
    </row>
    <row r="33">
      <c r="A33" s="21" t="n"/>
      <c r="C33" s="21" t="n"/>
      <c r="D33" s="20">
        <f>IF(AND($C33="x",$A33&lt;&gt;""),$A33,"")</f>
        <v/>
      </c>
    </row>
    <row r="34">
      <c r="A34" s="21" t="n"/>
      <c r="C34" s="21" t="n"/>
      <c r="D34" s="20">
        <f>IF(AND($C34="x",$A34&lt;&gt;""),$A34,"")</f>
        <v/>
      </c>
    </row>
    <row r="35">
      <c r="A35" s="21" t="n"/>
      <c r="C35" s="21" t="n"/>
      <c r="D35" s="20">
        <f>IF(AND($C35="x",$A35&lt;&gt;""),$A35,"")</f>
        <v/>
      </c>
    </row>
    <row r="36">
      <c r="A36" s="21" t="n"/>
      <c r="C36" s="21" t="n"/>
      <c r="D36" s="20">
        <f>IF(AND($C36="x",$A36&lt;&gt;""),$A36,"")</f>
        <v/>
      </c>
    </row>
    <row r="37">
      <c r="A37" s="21" t="n"/>
      <c r="C37" s="21" t="n"/>
      <c r="D37" s="20">
        <f>IF(AND($C37="x",$A37&lt;&gt;""),$A37,"")</f>
        <v/>
      </c>
    </row>
    <row r="38">
      <c r="A38" s="21" t="n"/>
      <c r="C38" s="21" t="n"/>
      <c r="D38" s="20">
        <f>IF(AND($C38="x",$A38&lt;&gt;""),$A38,"")</f>
        <v/>
      </c>
    </row>
    <row r="39">
      <c r="A39" s="21" t="n"/>
      <c r="C39" s="21" t="n"/>
      <c r="D39" s="20">
        <f>IF(AND($C39="x",$A39&lt;&gt;""),$A39,"")</f>
        <v/>
      </c>
    </row>
    <row r="40">
      <c r="A40" s="21" t="n"/>
      <c r="C40" s="21" t="n"/>
      <c r="D40" s="20">
        <f>IF(AND($C40="x",$A40&lt;&gt;""),$A40,"")</f>
        <v/>
      </c>
    </row>
    <row r="41">
      <c r="A41" s="21" t="n"/>
      <c r="C41" s="21" t="n"/>
      <c r="D41" s="20">
        <f>IF(AND($C41="x",$A41&lt;&gt;""),$A41,"")</f>
        <v/>
      </c>
    </row>
    <row r="42">
      <c r="A42" s="21" t="n"/>
      <c r="C42" s="21" t="n"/>
      <c r="D42" s="20">
        <f>IF(AND($C42="x",$A42&lt;&gt;""),$A42,"")</f>
        <v/>
      </c>
    </row>
    <row r="43">
      <c r="A43" s="21" t="n"/>
      <c r="C43" s="21" t="n"/>
      <c r="D43" s="20">
        <f>IF(AND($C43="x",$A43&lt;&gt;""),$A43,"")</f>
        <v/>
      </c>
    </row>
    <row r="44">
      <c r="A44" s="21" t="n"/>
      <c r="C44" s="21" t="n"/>
      <c r="D44" s="20">
        <f>IF(AND($C44="x",$A44&lt;&gt;""),$A44,"")</f>
        <v/>
      </c>
    </row>
    <row r="45">
      <c r="A45" s="21" t="n"/>
      <c r="C45" s="21" t="n"/>
      <c r="D45" s="20">
        <f>IF(AND($C45="x",$A45&lt;&gt;""),$A45,"")</f>
        <v/>
      </c>
    </row>
    <row r="46">
      <c r="A46" s="21" t="n"/>
      <c r="C46" s="21" t="n"/>
      <c r="D46" s="20">
        <f>IF(AND($C46="x",$A46&lt;&gt;""),$A46,"")</f>
        <v/>
      </c>
    </row>
    <row r="47">
      <c r="A47" s="21" t="n"/>
      <c r="C47" s="21" t="n"/>
      <c r="D47" s="20">
        <f>IF(AND($C47="x",$A47&lt;&gt;""),$A47,"")</f>
        <v/>
      </c>
    </row>
    <row r="48">
      <c r="A48" s="21" t="n"/>
      <c r="C48" s="21" t="n"/>
      <c r="D48" s="20">
        <f>IF(AND($C48="x",$A48&lt;&gt;""),$A48,"")</f>
        <v/>
      </c>
    </row>
    <row r="49">
      <c r="A49" s="21" t="n"/>
      <c r="C49" s="21" t="n"/>
      <c r="D49" s="20">
        <f>IF(AND($C49="x",$A49&lt;&gt;""),$A49,"")</f>
        <v/>
      </c>
    </row>
    <row r="50">
      <c r="A50" s="21" t="n"/>
      <c r="C50" s="21" t="n"/>
      <c r="D50" s="20">
        <f>IF(AND($C50="x",$A50&lt;&gt;""),$A50,"")</f>
        <v/>
      </c>
    </row>
    <row r="51">
      <c r="A51" s="21" t="n"/>
      <c r="C51" s="21" t="n"/>
      <c r="D51" s="20">
        <f>IF(AND($C51="x",$A51&lt;&gt;""),$A51,"")</f>
        <v/>
      </c>
    </row>
    <row r="52">
      <c r="A52" s="21" t="n"/>
      <c r="C52" s="21" t="n"/>
      <c r="D52" s="20">
        <f>IF(AND($C52="x",$A52&lt;&gt;""),$A52,"")</f>
        <v/>
      </c>
    </row>
    <row r="53">
      <c r="A53" s="21" t="n"/>
      <c r="C53" s="21" t="n"/>
      <c r="D53" s="20">
        <f>IF(AND($C53="x",$A53&lt;&gt;""),$A53,"")</f>
        <v/>
      </c>
    </row>
    <row r="54">
      <c r="A54" s="21" t="n"/>
      <c r="C54" s="21" t="n"/>
      <c r="D54" s="20">
        <f>IF(AND($C54="x",$A54&lt;&gt;""),$A54,"")</f>
        <v/>
      </c>
    </row>
    <row r="55">
      <c r="A55" s="21" t="n"/>
      <c r="C55" s="21" t="n"/>
      <c r="D55" s="20">
        <f>IF(AND($C55="x",$A55&lt;&gt;""),$A55,"")</f>
        <v/>
      </c>
    </row>
    <row r="56">
      <c r="A56" s="21" t="n"/>
      <c r="C56" s="21" t="n"/>
      <c r="D56" s="20">
        <f>IF(AND($C56="x",$A56&lt;&gt;""),$A56,"")</f>
        <v/>
      </c>
    </row>
    <row r="57">
      <c r="A57" s="21" t="n"/>
      <c r="C57" s="21" t="n"/>
      <c r="D57" s="20">
        <f>IF(AND($C57="x",$A57&lt;&gt;""),$A57,"")</f>
        <v/>
      </c>
    </row>
    <row r="58">
      <c r="A58" s="21" t="n"/>
      <c r="C58" s="21" t="n"/>
      <c r="D58" s="20">
        <f>IF(AND($C58="x",$A58&lt;&gt;""),$A58,"")</f>
        <v/>
      </c>
    </row>
    <row r="59">
      <c r="A59" s="21" t="n"/>
      <c r="C59" s="21" t="n"/>
      <c r="D59" s="20">
        <f>IF(AND($C59="x",$A59&lt;&gt;""),$A59,"")</f>
        <v/>
      </c>
    </row>
    <row r="60">
      <c r="A60" s="21" t="n"/>
      <c r="C60" s="21" t="n"/>
      <c r="D60" s="20">
        <f>IF(AND($C60="x",$A60&lt;&gt;""),$A60,"")</f>
        <v/>
      </c>
    </row>
    <row r="61">
      <c r="A61" s="21" t="n"/>
      <c r="C61" s="21" t="n"/>
      <c r="D61" s="20">
        <f>IF(AND($C61="x",$A61&lt;&gt;""),$A61,"")</f>
        <v/>
      </c>
    </row>
    <row r="62">
      <c r="A62" s="21" t="n"/>
      <c r="C62" s="21" t="n"/>
      <c r="D62" s="20">
        <f>IF(AND($C62="x",$A62&lt;&gt;""),$A62,"")</f>
        <v/>
      </c>
    </row>
    <row r="63">
      <c r="A63" s="21" t="n"/>
      <c r="C63" s="21" t="n"/>
      <c r="D63" s="20">
        <f>IF(AND($C63="x",$A63&lt;&gt;""),$A63,"")</f>
        <v/>
      </c>
    </row>
    <row r="64">
      <c r="A64" s="21" t="n"/>
      <c r="C64" s="21" t="n"/>
      <c r="D64" s="20">
        <f>IF(AND($C64="x",$A64&lt;&gt;""),$A64,"")</f>
        <v/>
      </c>
    </row>
    <row r="65">
      <c r="A65" s="21" t="n"/>
      <c r="C65" s="21" t="n"/>
      <c r="D65" s="20">
        <f>IF(AND($C65="x",$A65&lt;&gt;""),$A65,"")</f>
        <v/>
      </c>
    </row>
    <row r="66">
      <c r="A66" s="21" t="n"/>
      <c r="C66" s="21" t="n"/>
      <c r="D66" s="20">
        <f>IF(AND($C66="x",$A66&lt;&gt;""),$A66,"")</f>
        <v/>
      </c>
    </row>
    <row r="67">
      <c r="A67" s="21" t="n"/>
      <c r="C67" s="21" t="n"/>
      <c r="D67" s="20">
        <f>IF(AND($C67="x",$A67&lt;&gt;""),$A67,"")</f>
        <v/>
      </c>
    </row>
    <row r="68">
      <c r="A68" s="21" t="n"/>
      <c r="C68" s="21" t="n"/>
      <c r="D68" s="20">
        <f>IF(AND($C68="x",$A68&lt;&gt;""),$A68,"")</f>
        <v/>
      </c>
    </row>
    <row r="69">
      <c r="A69" s="21" t="n"/>
      <c r="C69" s="21" t="n"/>
      <c r="D69" s="20">
        <f>IF(AND($C69="x",$A69&lt;&gt;""),$A69,"")</f>
        <v/>
      </c>
    </row>
    <row r="70">
      <c r="A70" s="21" t="n"/>
      <c r="C70" s="21" t="n"/>
      <c r="D70" s="20">
        <f>IF(AND($C70="x",$A70&lt;&gt;""),$A70,"")</f>
        <v/>
      </c>
    </row>
    <row r="71">
      <c r="A71" s="21" t="n"/>
      <c r="C71" s="21" t="n"/>
      <c r="D71" s="20">
        <f>IF(AND($C71="x",$A71&lt;&gt;""),$A71,"")</f>
        <v/>
      </c>
    </row>
    <row r="72">
      <c r="A72" s="21" t="n"/>
      <c r="C72" s="21" t="n"/>
      <c r="D72" s="20">
        <f>IF(AND($C72="x",$A72&lt;&gt;""),$A72,"")</f>
        <v/>
      </c>
    </row>
    <row r="73">
      <c r="A73" s="21" t="n"/>
      <c r="C73" s="21" t="n"/>
      <c r="D73" s="20">
        <f>IF(AND($C73="x",$A73&lt;&gt;""),$A73,"")</f>
        <v/>
      </c>
    </row>
    <row r="74">
      <c r="A74" s="21" t="n"/>
      <c r="C74" s="21" t="n"/>
      <c r="D74" s="20">
        <f>IF(AND($C74="x",$A74&lt;&gt;""),$A74,"")</f>
        <v/>
      </c>
    </row>
    <row r="75">
      <c r="A75" s="21" t="n"/>
      <c r="C75" s="21" t="n"/>
      <c r="D75" s="20">
        <f>IF(AND($C75="x",$A75&lt;&gt;""),$A75,"")</f>
        <v/>
      </c>
    </row>
    <row r="76">
      <c r="A76" s="21" t="n"/>
      <c r="C76" s="21" t="n"/>
      <c r="D76" s="20">
        <f>IF(AND($C76="x",$A76&lt;&gt;""),$A76,"")</f>
        <v/>
      </c>
    </row>
    <row r="77">
      <c r="A77" s="21" t="n"/>
      <c r="C77" s="21" t="n"/>
      <c r="D77" s="20">
        <f>IF(AND($C77="x",$A77&lt;&gt;""),$A77,"")</f>
        <v/>
      </c>
    </row>
    <row r="78">
      <c r="A78" s="21" t="n"/>
      <c r="C78" s="21" t="n"/>
      <c r="D78" s="20">
        <f>IF(AND($C78="x",$A78&lt;&gt;""),$A78,"")</f>
        <v/>
      </c>
    </row>
    <row r="79">
      <c r="A79" s="21" t="n"/>
      <c r="C79" s="21" t="n"/>
      <c r="D79" s="20">
        <f>IF(AND($C79="x",$A79&lt;&gt;""),$A79,"")</f>
        <v/>
      </c>
    </row>
    <row r="80">
      <c r="A80" s="21" t="n"/>
      <c r="C80" s="21" t="n"/>
      <c r="D80" s="20">
        <f>IF(AND($C80="x",$A80&lt;&gt;""),$A80,"")</f>
        <v/>
      </c>
    </row>
  </sheetData>
  <mergeCells count="2">
    <mergeCell ref="A27:C27"/>
    <mergeCell ref="B8:D8"/>
  </mergeCells>
  <dataValidations count="1">
    <dataValidation sqref="C12 C13 C14 C15 C16 C17 C18 C19 C20 C21 C22 C23 C24 C25 C26 C27 C28 C29 C30 C31 C32 C33 C34 C35 C36 C37 C38 C39 C40 C41 C42 C43 C44 C45 C46 C47 C48 C49 C50 C51 C52 C53 C54 C55 C56 C57 C58 C59 C60 C61 C62 C63 C64 C65 C66 C67 C68 C69 C70 C71 C72 C73 C74 C75 C76 C77 C78 C79 C80" showDropDown="0" showInputMessage="0" showErrorMessage="1" allowBlank="1" errorTitle="Alleen x" error="Zet een x om het veld op te nemen, of laat de cel leeg." type="list">
      <formula1>"x"</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0"/>
  <sheetViews>
    <sheetView workbookViewId="0">
      <pane ySplit="11" topLeftCell="A12" activePane="bottomLeft" state="frozen"/>
      <selection pane="bottomLeft" activeCell="A1" sqref="A1"/>
    </sheetView>
  </sheetViews>
  <sheetFormatPr baseColWidth="8" defaultRowHeight="15"/>
  <cols>
    <col width="44" customWidth="1" min="1" max="1"/>
    <col width="62" customWidth="1" min="2" max="2"/>
    <col width="13" customWidth="1" min="3" max="3"/>
    <col hidden="1" width="10" customWidth="1" min="4" max="4"/>
  </cols>
  <sheetData>
    <row r="1">
      <c r="A1" s="13" t="inlineStr">
        <is>
          <t>Windsor-export: Meta Ads campagnes</t>
        </is>
      </c>
      <c r="C1" s="14" t="inlineStr">
        <is>
          <t>Status: Aanbevolen · Ads → Meta (trend, KPI's, funnel) + ROAS</t>
        </is>
      </c>
    </row>
    <row r="2">
      <c r="A2" s="3" t="inlineStr">
        <is>
          <t>Connector</t>
        </is>
      </c>
      <c r="B2" s="6" t="inlineStr">
        <is>
          <t>facebook</t>
        </is>
      </c>
    </row>
    <row r="3">
      <c r="A3" s="3" t="inlineStr">
        <is>
          <t>Account-id (uit Instellingen)</t>
        </is>
      </c>
      <c r="B3" s="15">
        <f>Instellingen!$B$11</f>
        <v/>
      </c>
    </row>
    <row r="4">
      <c r="A4" s="3" t="inlineStr">
        <is>
          <t>Taaknaam (Task name)</t>
        </is>
      </c>
      <c r="B4" s="15">
        <f>"Windsor - Sheets - Meta Ads campagnes - "&amp;Instellingen!$B$3</f>
        <v/>
      </c>
    </row>
    <row r="5">
      <c r="A5" s="3" t="inlineStr">
        <is>
          <t>Tabnaam (Sheet Name)</t>
        </is>
      </c>
      <c r="B5" s="15">
        <f>"Meta Ads - campagnes - "&amp;Instellingen!$B$3&amp;" - windsor.ai"</f>
        <v/>
      </c>
      <c r="C5" s="12" t="inlineStr">
        <is>
          <t>Herkenning in api/_sheetdata.js gaat op bron + niveau in deze naam; hou het voorstel aan.</t>
        </is>
      </c>
    </row>
    <row r="6">
      <c r="A6" s="3" t="inlineStr">
        <is>
          <t>Columns to Match (rows to replace)</t>
        </is>
      </c>
      <c r="B6" s="6" t="inlineStr">
        <is>
          <t>date</t>
        </is>
      </c>
      <c r="C6" s="12" t="inlineStr">
        <is>
          <t>Voorstel; zoals bij de bestaande exports.</t>
        </is>
      </c>
    </row>
    <row r="7">
      <c r="A7" s="3" t="inlineStr">
        <is>
          <t>Schedule</t>
        </is>
      </c>
      <c r="B7" s="6" t="inlineStr">
        <is>
          <t>Daily · 00:00 UTC · Target Cell A1 · Authentication: Google Account</t>
        </is>
      </c>
    </row>
    <row r="8" ht="90" customHeight="1">
      <c r="A8" s="3" t="inlineStr">
        <is>
          <t>Query (gegenereerd — api_key blijft leeg)</t>
        </is>
      </c>
      <c r="B8" s="16">
        <f>"https://connectors.windsor.ai/"&amp;$B$2&amp;"?api_key="&amp;IF(Instellingen!$B$4&lt;&gt;"","&amp;date_preset="&amp;Instellingen!$B$4,"")&amp;"&amp;fields="&amp;_xlfn.TEXTJOIN(",",TRUE,$D$12:$D$80)&amp;IF($B$3&lt;&gt;"","&amp;select_accounts="&amp;$B$3,"")&amp;IF(Instellingen!$B$5&lt;&gt;"","&amp;_field_headers="&amp;Instellingen!$B$5,"")</f>
        <v/>
      </c>
    </row>
    <row r="9">
      <c r="A9" s="3" t="inlineStr">
        <is>
          <t>Aantal velden in de query</t>
        </is>
      </c>
      <c r="B9" s="17">
        <f>COUNTIF($C$12:$C$80,"x")</f>
        <v/>
      </c>
    </row>
    <row r="11">
      <c r="A11" s="8" t="inlineStr">
        <is>
          <t>Veld (Windsor-id)</t>
        </is>
      </c>
      <c r="B11" s="8" t="inlineStr">
        <is>
          <t>Gebruik in het dashboard</t>
        </is>
      </c>
      <c r="C11" s="8" t="inlineStr">
        <is>
          <t>Opnemen (x)</t>
        </is>
      </c>
      <c r="D11" s="8" t="inlineStr">
        <is>
          <t>→ query</t>
        </is>
      </c>
    </row>
    <row r="12">
      <c r="A12" s="9" t="inlineStr">
        <is>
          <t>date</t>
        </is>
      </c>
      <c r="B12" s="18" t="inlineStr">
        <is>
          <t>Datumkolom: 'Columns to Match' en periodefilter</t>
        </is>
      </c>
      <c r="C12" s="19" t="inlineStr">
        <is>
          <t>x</t>
        </is>
      </c>
      <c r="D12" s="20">
        <f>IF(AND($C12="x",$A12&lt;&gt;""),$A12,"")</f>
        <v/>
      </c>
    </row>
    <row r="13">
      <c r="A13" s="9" t="inlineStr">
        <is>
          <t>account_id</t>
        </is>
      </c>
      <c r="B13" s="18" t="inlineStr">
        <is>
          <t>Accountcontrole: alleen rijen van dit account tellen mee</t>
        </is>
      </c>
      <c r="C13" s="19" t="inlineStr">
        <is>
          <t>x</t>
        </is>
      </c>
      <c r="D13" s="20">
        <f>IF(AND($C13="x",$A13&lt;&gt;""),$A13,"")</f>
        <v/>
      </c>
    </row>
    <row r="14">
      <c r="A14" s="9" t="inlineStr">
        <is>
          <t>account_name</t>
        </is>
      </c>
      <c r="B14" s="18" t="inlineStr">
        <is>
          <t>Idem, leesbaar</t>
        </is>
      </c>
      <c r="C14" s="19" t="inlineStr">
        <is>
          <t>x</t>
        </is>
      </c>
      <c r="D14" s="20">
        <f>IF(AND($C14="x",$A14&lt;&gt;""),$A14,"")</f>
        <v/>
      </c>
    </row>
    <row r="15">
      <c r="A15" s="9" t="inlineStr">
        <is>
          <t>campaign_id</t>
        </is>
      </c>
      <c r="B15" s="18" t="inlineStr">
        <is>
          <t>Campagne-id</t>
        </is>
      </c>
      <c r="C15" s="19" t="inlineStr">
        <is>
          <t>x</t>
        </is>
      </c>
      <c r="D15" s="20">
        <f>IF(AND($C15="x",$A15&lt;&gt;""),$A15,"")</f>
        <v/>
      </c>
    </row>
    <row r="16">
      <c r="A16" s="9" t="inlineStr">
        <is>
          <t>campaign_name</t>
        </is>
      </c>
      <c r="B16" s="18" t="inlineStr">
        <is>
          <t>Campagnenaam (kop 'Campaign')</t>
        </is>
      </c>
      <c r="C16" s="19" t="inlineStr">
        <is>
          <t>x</t>
        </is>
      </c>
      <c r="D16" s="20">
        <f>IF(AND($C16="x",$A16&lt;&gt;""),$A16,"")</f>
        <v/>
      </c>
    </row>
    <row r="17">
      <c r="A17" s="9" t="inlineStr">
        <is>
          <t>campaign_objective</t>
        </is>
      </c>
      <c r="B17" s="18" t="inlineStr">
        <is>
          <t>Campagnedoel (funnel-blok)</t>
        </is>
      </c>
      <c r="C17" s="19" t="inlineStr">
        <is>
          <t>x</t>
        </is>
      </c>
      <c r="D17" s="20">
        <f>IF(AND($C17="x",$A17&lt;&gt;""),$A17,"")</f>
        <v/>
      </c>
    </row>
    <row r="18">
      <c r="A18" s="9" t="inlineStr">
        <is>
          <t>impressions</t>
        </is>
      </c>
      <c r="B18" s="18" t="inlineStr">
        <is>
          <t>Vertoningen</t>
        </is>
      </c>
      <c r="C18" s="19" t="inlineStr">
        <is>
          <t>x</t>
        </is>
      </c>
      <c r="D18" s="20">
        <f>IF(AND($C18="x",$A18&lt;&gt;""),$A18,"")</f>
        <v/>
      </c>
    </row>
    <row r="19">
      <c r="A19" s="9" t="inlineStr">
        <is>
          <t>reach</t>
        </is>
      </c>
      <c r="B19" s="18" t="inlineStr">
        <is>
          <t>Bereik per dag (niet ontdubbeld over de periode)</t>
        </is>
      </c>
      <c r="C19" s="19" t="inlineStr">
        <is>
          <t>x</t>
        </is>
      </c>
      <c r="D19" s="20">
        <f>IF(AND($C19="x",$A19&lt;&gt;""),$A19,"")</f>
        <v/>
      </c>
    </row>
    <row r="20">
      <c r="A20" s="9" t="inlineStr">
        <is>
          <t>clicks</t>
        </is>
      </c>
      <c r="B20" s="18" t="inlineStr">
        <is>
          <t>Kliks</t>
        </is>
      </c>
      <c r="C20" s="19" t="inlineStr">
        <is>
          <t>x</t>
        </is>
      </c>
      <c r="D20" s="20">
        <f>IF(AND($C20="x",$A20&lt;&gt;""),$A20,"")</f>
        <v/>
      </c>
    </row>
    <row r="21">
      <c r="A21" s="9" t="inlineStr">
        <is>
          <t>spend</t>
        </is>
      </c>
      <c r="B21" s="18" t="inlineStr">
        <is>
          <t>Kosten (kop 'Amount Spent')</t>
        </is>
      </c>
      <c r="C21" s="19" t="inlineStr">
        <is>
          <t>x</t>
        </is>
      </c>
      <c r="D21" s="20">
        <f>IF(AND($C21="x",$A21&lt;&gt;""),$A21,"")</f>
        <v/>
      </c>
    </row>
    <row r="22">
      <c r="A22" s="9" t="inlineStr">
        <is>
          <t>cpm</t>
        </is>
      </c>
      <c r="B22" s="18" t="inlineStr">
        <is>
          <t>CPM</t>
        </is>
      </c>
      <c r="C22" s="19" t="inlineStr">
        <is>
          <t>x</t>
        </is>
      </c>
      <c r="D22" s="20">
        <f>IF(AND($C22="x",$A22&lt;&gt;""),$A22,"")</f>
        <v/>
      </c>
    </row>
    <row r="23">
      <c r="A23" s="9" t="inlineStr">
        <is>
          <t>cpc</t>
        </is>
      </c>
      <c r="B23" s="18" t="inlineStr">
        <is>
          <t>CPC</t>
        </is>
      </c>
      <c r="C23" s="19" t="inlineStr">
        <is>
          <t>x</t>
        </is>
      </c>
      <c r="D23" s="20">
        <f>IF(AND($C23="x",$A23&lt;&gt;""),$A23,"")</f>
        <v/>
      </c>
    </row>
    <row r="24">
      <c r="A24" s="9" t="inlineStr">
        <is>
          <t>ctr</t>
        </is>
      </c>
      <c r="B24" s="18" t="inlineStr">
        <is>
          <t>CTR</t>
        </is>
      </c>
      <c r="C24" s="19" t="inlineStr">
        <is>
          <t>x</t>
        </is>
      </c>
      <c r="D24" s="20">
        <f>IF(AND($C24="x",$A24&lt;&gt;""),$A24,"")</f>
        <v/>
      </c>
    </row>
    <row r="25">
      <c r="A25" s="14" t="inlineStr">
        <is>
          <t>Eigen veld toevoegen: zet hieronder het Windsor-veld-id in kolom A en een x in kolom C (tot rij 80).</t>
        </is>
      </c>
    </row>
    <row r="26">
      <c r="A26" s="21" t="n"/>
      <c r="C26" s="21" t="n"/>
      <c r="D26" s="20">
        <f>IF(AND($C26="x",$A26&lt;&gt;""),$A26,"")</f>
        <v/>
      </c>
    </row>
    <row r="27">
      <c r="A27" s="21" t="n"/>
      <c r="C27" s="21" t="n"/>
      <c r="D27" s="20">
        <f>IF(AND($C27="x",$A27&lt;&gt;""),$A27,"")</f>
        <v/>
      </c>
    </row>
    <row r="28">
      <c r="A28" s="21" t="n"/>
      <c r="C28" s="21" t="n"/>
      <c r="D28" s="20">
        <f>IF(AND($C28="x",$A28&lt;&gt;""),$A28,"")</f>
        <v/>
      </c>
    </row>
    <row r="29">
      <c r="A29" s="21" t="n"/>
      <c r="C29" s="21" t="n"/>
      <c r="D29" s="20">
        <f>IF(AND($C29="x",$A29&lt;&gt;""),$A29,"")</f>
        <v/>
      </c>
    </row>
    <row r="30">
      <c r="A30" s="21" t="n"/>
      <c r="C30" s="21" t="n"/>
      <c r="D30" s="20">
        <f>IF(AND($C30="x",$A30&lt;&gt;""),$A30,"")</f>
        <v/>
      </c>
    </row>
    <row r="31">
      <c r="A31" s="21" t="n"/>
      <c r="C31" s="21" t="n"/>
      <c r="D31" s="20">
        <f>IF(AND($C31="x",$A31&lt;&gt;""),$A31,"")</f>
        <v/>
      </c>
    </row>
    <row r="32">
      <c r="A32" s="21" t="n"/>
      <c r="C32" s="21" t="n"/>
      <c r="D32" s="20">
        <f>IF(AND($C32="x",$A32&lt;&gt;""),$A32,"")</f>
        <v/>
      </c>
    </row>
    <row r="33">
      <c r="A33" s="21" t="n"/>
      <c r="C33" s="21" t="n"/>
      <c r="D33" s="20">
        <f>IF(AND($C33="x",$A33&lt;&gt;""),$A33,"")</f>
        <v/>
      </c>
    </row>
    <row r="34">
      <c r="A34" s="21" t="n"/>
      <c r="C34" s="21" t="n"/>
      <c r="D34" s="20">
        <f>IF(AND($C34="x",$A34&lt;&gt;""),$A34,"")</f>
        <v/>
      </c>
    </row>
    <row r="35">
      <c r="A35" s="21" t="n"/>
      <c r="C35" s="21" t="n"/>
      <c r="D35" s="20">
        <f>IF(AND($C35="x",$A35&lt;&gt;""),$A35,"")</f>
        <v/>
      </c>
    </row>
    <row r="36">
      <c r="A36" s="21" t="n"/>
      <c r="C36" s="21" t="n"/>
      <c r="D36" s="20">
        <f>IF(AND($C36="x",$A36&lt;&gt;""),$A36,"")</f>
        <v/>
      </c>
    </row>
    <row r="37">
      <c r="A37" s="21" t="n"/>
      <c r="C37" s="21" t="n"/>
      <c r="D37" s="20">
        <f>IF(AND($C37="x",$A37&lt;&gt;""),$A37,"")</f>
        <v/>
      </c>
    </row>
    <row r="38">
      <c r="A38" s="21" t="n"/>
      <c r="C38" s="21" t="n"/>
      <c r="D38" s="20">
        <f>IF(AND($C38="x",$A38&lt;&gt;""),$A38,"")</f>
        <v/>
      </c>
    </row>
    <row r="39">
      <c r="A39" s="21" t="n"/>
      <c r="C39" s="21" t="n"/>
      <c r="D39" s="20">
        <f>IF(AND($C39="x",$A39&lt;&gt;""),$A39,"")</f>
        <v/>
      </c>
    </row>
    <row r="40">
      <c r="A40" s="21" t="n"/>
      <c r="C40" s="21" t="n"/>
      <c r="D40" s="20">
        <f>IF(AND($C40="x",$A40&lt;&gt;""),$A40,"")</f>
        <v/>
      </c>
    </row>
    <row r="41">
      <c r="A41" s="21" t="n"/>
      <c r="C41" s="21" t="n"/>
      <c r="D41" s="20">
        <f>IF(AND($C41="x",$A41&lt;&gt;""),$A41,"")</f>
        <v/>
      </c>
    </row>
    <row r="42">
      <c r="A42" s="21" t="n"/>
      <c r="C42" s="21" t="n"/>
      <c r="D42" s="20">
        <f>IF(AND($C42="x",$A42&lt;&gt;""),$A42,"")</f>
        <v/>
      </c>
    </row>
    <row r="43">
      <c r="A43" s="21" t="n"/>
      <c r="C43" s="21" t="n"/>
      <c r="D43" s="20">
        <f>IF(AND($C43="x",$A43&lt;&gt;""),$A43,"")</f>
        <v/>
      </c>
    </row>
    <row r="44">
      <c r="A44" s="21" t="n"/>
      <c r="C44" s="21" t="n"/>
      <c r="D44" s="20">
        <f>IF(AND($C44="x",$A44&lt;&gt;""),$A44,"")</f>
        <v/>
      </c>
    </row>
    <row r="45">
      <c r="A45" s="21" t="n"/>
      <c r="C45" s="21" t="n"/>
      <c r="D45" s="20">
        <f>IF(AND($C45="x",$A45&lt;&gt;""),$A45,"")</f>
        <v/>
      </c>
    </row>
    <row r="46">
      <c r="A46" s="21" t="n"/>
      <c r="C46" s="21" t="n"/>
      <c r="D46" s="20">
        <f>IF(AND($C46="x",$A46&lt;&gt;""),$A46,"")</f>
        <v/>
      </c>
    </row>
    <row r="47">
      <c r="A47" s="21" t="n"/>
      <c r="C47" s="21" t="n"/>
      <c r="D47" s="20">
        <f>IF(AND($C47="x",$A47&lt;&gt;""),$A47,"")</f>
        <v/>
      </c>
    </row>
    <row r="48">
      <c r="A48" s="21" t="n"/>
      <c r="C48" s="21" t="n"/>
      <c r="D48" s="20">
        <f>IF(AND($C48="x",$A48&lt;&gt;""),$A48,"")</f>
        <v/>
      </c>
    </row>
    <row r="49">
      <c r="A49" s="21" t="n"/>
      <c r="C49" s="21" t="n"/>
      <c r="D49" s="20">
        <f>IF(AND($C49="x",$A49&lt;&gt;""),$A49,"")</f>
        <v/>
      </c>
    </row>
    <row r="50">
      <c r="A50" s="21" t="n"/>
      <c r="C50" s="21" t="n"/>
      <c r="D50" s="20">
        <f>IF(AND($C50="x",$A50&lt;&gt;""),$A50,"")</f>
        <v/>
      </c>
    </row>
    <row r="51">
      <c r="A51" s="21" t="n"/>
      <c r="C51" s="21" t="n"/>
      <c r="D51" s="20">
        <f>IF(AND($C51="x",$A51&lt;&gt;""),$A51,"")</f>
        <v/>
      </c>
    </row>
    <row r="52">
      <c r="A52" s="21" t="n"/>
      <c r="C52" s="21" t="n"/>
      <c r="D52" s="20">
        <f>IF(AND($C52="x",$A52&lt;&gt;""),$A52,"")</f>
        <v/>
      </c>
    </row>
    <row r="53">
      <c r="A53" s="21" t="n"/>
      <c r="C53" s="21" t="n"/>
      <c r="D53" s="20">
        <f>IF(AND($C53="x",$A53&lt;&gt;""),$A53,"")</f>
        <v/>
      </c>
    </row>
    <row r="54">
      <c r="A54" s="21" t="n"/>
      <c r="C54" s="21" t="n"/>
      <c r="D54" s="20">
        <f>IF(AND($C54="x",$A54&lt;&gt;""),$A54,"")</f>
        <v/>
      </c>
    </row>
    <row r="55">
      <c r="A55" s="21" t="n"/>
      <c r="C55" s="21" t="n"/>
      <c r="D55" s="20">
        <f>IF(AND($C55="x",$A55&lt;&gt;""),$A55,"")</f>
        <v/>
      </c>
    </row>
    <row r="56">
      <c r="A56" s="21" t="n"/>
      <c r="C56" s="21" t="n"/>
      <c r="D56" s="20">
        <f>IF(AND($C56="x",$A56&lt;&gt;""),$A56,"")</f>
        <v/>
      </c>
    </row>
    <row r="57">
      <c r="A57" s="21" t="n"/>
      <c r="C57" s="21" t="n"/>
      <c r="D57" s="20">
        <f>IF(AND($C57="x",$A57&lt;&gt;""),$A57,"")</f>
        <v/>
      </c>
    </row>
    <row r="58">
      <c r="A58" s="21" t="n"/>
      <c r="C58" s="21" t="n"/>
      <c r="D58" s="20">
        <f>IF(AND($C58="x",$A58&lt;&gt;""),$A58,"")</f>
        <v/>
      </c>
    </row>
    <row r="59">
      <c r="A59" s="21" t="n"/>
      <c r="C59" s="21" t="n"/>
      <c r="D59" s="20">
        <f>IF(AND($C59="x",$A59&lt;&gt;""),$A59,"")</f>
        <v/>
      </c>
    </row>
    <row r="60">
      <c r="A60" s="21" t="n"/>
      <c r="C60" s="21" t="n"/>
      <c r="D60" s="20">
        <f>IF(AND($C60="x",$A60&lt;&gt;""),$A60,"")</f>
        <v/>
      </c>
    </row>
    <row r="61">
      <c r="A61" s="21" t="n"/>
      <c r="C61" s="21" t="n"/>
      <c r="D61" s="20">
        <f>IF(AND($C61="x",$A61&lt;&gt;""),$A61,"")</f>
        <v/>
      </c>
    </row>
    <row r="62">
      <c r="A62" s="21" t="n"/>
      <c r="C62" s="21" t="n"/>
      <c r="D62" s="20">
        <f>IF(AND($C62="x",$A62&lt;&gt;""),$A62,"")</f>
        <v/>
      </c>
    </row>
    <row r="63">
      <c r="A63" s="21" t="n"/>
      <c r="C63" s="21" t="n"/>
      <c r="D63" s="20">
        <f>IF(AND($C63="x",$A63&lt;&gt;""),$A63,"")</f>
        <v/>
      </c>
    </row>
    <row r="64">
      <c r="A64" s="21" t="n"/>
      <c r="C64" s="21" t="n"/>
      <c r="D64" s="20">
        <f>IF(AND($C64="x",$A64&lt;&gt;""),$A64,"")</f>
        <v/>
      </c>
    </row>
    <row r="65">
      <c r="A65" s="21" t="n"/>
      <c r="C65" s="21" t="n"/>
      <c r="D65" s="20">
        <f>IF(AND($C65="x",$A65&lt;&gt;""),$A65,"")</f>
        <v/>
      </c>
    </row>
    <row r="66">
      <c r="A66" s="21" t="n"/>
      <c r="C66" s="21" t="n"/>
      <c r="D66" s="20">
        <f>IF(AND($C66="x",$A66&lt;&gt;""),$A66,"")</f>
        <v/>
      </c>
    </row>
    <row r="67">
      <c r="A67" s="21" t="n"/>
      <c r="C67" s="21" t="n"/>
      <c r="D67" s="20">
        <f>IF(AND($C67="x",$A67&lt;&gt;""),$A67,"")</f>
        <v/>
      </c>
    </row>
    <row r="68">
      <c r="A68" s="21" t="n"/>
      <c r="C68" s="21" t="n"/>
      <c r="D68" s="20">
        <f>IF(AND($C68="x",$A68&lt;&gt;""),$A68,"")</f>
        <v/>
      </c>
    </row>
    <row r="69">
      <c r="A69" s="21" t="n"/>
      <c r="C69" s="21" t="n"/>
      <c r="D69" s="20">
        <f>IF(AND($C69="x",$A69&lt;&gt;""),$A69,"")</f>
        <v/>
      </c>
    </row>
    <row r="70">
      <c r="A70" s="21" t="n"/>
      <c r="C70" s="21" t="n"/>
      <c r="D70" s="20">
        <f>IF(AND($C70="x",$A70&lt;&gt;""),$A70,"")</f>
        <v/>
      </c>
    </row>
    <row r="71">
      <c r="A71" s="21" t="n"/>
      <c r="C71" s="21" t="n"/>
      <c r="D71" s="20">
        <f>IF(AND($C71="x",$A71&lt;&gt;""),$A71,"")</f>
        <v/>
      </c>
    </row>
    <row r="72">
      <c r="A72" s="21" t="n"/>
      <c r="C72" s="21" t="n"/>
      <c r="D72" s="20">
        <f>IF(AND($C72="x",$A72&lt;&gt;""),$A72,"")</f>
        <v/>
      </c>
    </row>
    <row r="73">
      <c r="A73" s="21" t="n"/>
      <c r="C73" s="21" t="n"/>
      <c r="D73" s="20">
        <f>IF(AND($C73="x",$A73&lt;&gt;""),$A73,"")</f>
        <v/>
      </c>
    </row>
    <row r="74">
      <c r="A74" s="21" t="n"/>
      <c r="C74" s="21" t="n"/>
      <c r="D74" s="20">
        <f>IF(AND($C74="x",$A74&lt;&gt;""),$A74,"")</f>
        <v/>
      </c>
    </row>
    <row r="75">
      <c r="A75" s="21" t="n"/>
      <c r="C75" s="21" t="n"/>
      <c r="D75" s="20">
        <f>IF(AND($C75="x",$A75&lt;&gt;""),$A75,"")</f>
        <v/>
      </c>
    </row>
    <row r="76">
      <c r="A76" s="21" t="n"/>
      <c r="C76" s="21" t="n"/>
      <c r="D76" s="20">
        <f>IF(AND($C76="x",$A76&lt;&gt;""),$A76,"")</f>
        <v/>
      </c>
    </row>
    <row r="77">
      <c r="A77" s="21" t="n"/>
      <c r="C77" s="21" t="n"/>
      <c r="D77" s="20">
        <f>IF(AND($C77="x",$A77&lt;&gt;""),$A77,"")</f>
        <v/>
      </c>
    </row>
    <row r="78">
      <c r="A78" s="21" t="n"/>
      <c r="C78" s="21" t="n"/>
      <c r="D78" s="20">
        <f>IF(AND($C78="x",$A78&lt;&gt;""),$A78,"")</f>
        <v/>
      </c>
    </row>
    <row r="79">
      <c r="A79" s="21" t="n"/>
      <c r="C79" s="21" t="n"/>
      <c r="D79" s="20">
        <f>IF(AND($C79="x",$A79&lt;&gt;""),$A79,"")</f>
        <v/>
      </c>
    </row>
    <row r="80">
      <c r="A80" s="21" t="n"/>
      <c r="C80" s="21" t="n"/>
      <c r="D80" s="20">
        <f>IF(AND($C80="x",$A80&lt;&gt;""),$A80,"")</f>
        <v/>
      </c>
    </row>
  </sheetData>
  <mergeCells count="2">
    <mergeCell ref="A25:C25"/>
    <mergeCell ref="B8:D8"/>
  </mergeCells>
  <dataValidations count="1">
    <dataValidation sqref="C12 C13 C14 C15 C16 C17 C18 C19 C20 C21 C22 C23 C24 C25 C26 C27 C28 C29 C30 C31 C32 C33 C34 C35 C36 C37 C38 C39 C40 C41 C42 C43 C44 C45 C46 C47 C48 C49 C50 C51 C52 C53 C54 C55 C56 C57 C58 C59 C60 C61 C62 C63 C64 C65 C66 C67 C68 C69 C70 C71 C72 C73 C74 C75 C76 C77 C78 C79 C80" showDropDown="0" showInputMessage="0" showErrorMessage="1" allowBlank="1" errorTitle="Alleen x" error="Zet een x om het veld op te nemen, of laat de cel leeg." type="list">
      <formula1>"x"</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0"/>
  <sheetViews>
    <sheetView workbookViewId="0">
      <pane ySplit="11" topLeftCell="A12" activePane="bottomLeft" state="frozen"/>
      <selection pane="bottomLeft" activeCell="A1" sqref="A1"/>
    </sheetView>
  </sheetViews>
  <sheetFormatPr baseColWidth="8" defaultRowHeight="15"/>
  <cols>
    <col width="44" customWidth="1" min="1" max="1"/>
    <col width="62" customWidth="1" min="2" max="2"/>
    <col width="13" customWidth="1" min="3" max="3"/>
    <col hidden="1" width="10" customWidth="1" min="4" max="4"/>
  </cols>
  <sheetData>
    <row r="1">
      <c r="A1" s="13" t="inlineStr">
        <is>
          <t>Windsor-export: Meta Ads advertenties</t>
        </is>
      </c>
      <c r="C1" s="14" t="inlineStr">
        <is>
          <t>Status: Aanbevolen · Ads → Meta (advertenties, creatie, video, conversies)</t>
        </is>
      </c>
    </row>
    <row r="2">
      <c r="A2" s="3" t="inlineStr">
        <is>
          <t>Connector</t>
        </is>
      </c>
      <c r="B2" s="6" t="inlineStr">
        <is>
          <t>facebook</t>
        </is>
      </c>
    </row>
    <row r="3">
      <c r="A3" s="3" t="inlineStr">
        <is>
          <t>Account-id (uit Instellingen)</t>
        </is>
      </c>
      <c r="B3" s="15">
        <f>Instellingen!$B$11</f>
        <v/>
      </c>
    </row>
    <row r="4">
      <c r="A4" s="3" t="inlineStr">
        <is>
          <t>Taaknaam (Task name)</t>
        </is>
      </c>
      <c r="B4" s="15">
        <f>"Windsor - Sheets - Meta Ads advertenties - "&amp;Instellingen!$B$3</f>
        <v/>
      </c>
    </row>
    <row r="5">
      <c r="A5" s="3" t="inlineStr">
        <is>
          <t>Tabnaam (Sheet Name)</t>
        </is>
      </c>
      <c r="B5" s="15">
        <f>"Meta Ads - advertenties - "&amp;Instellingen!$B$3&amp;" - windsor.ai"</f>
        <v/>
      </c>
      <c r="C5" s="12" t="inlineStr">
        <is>
          <t>Herkenning in api/_sheetdata.js gaat op bron + niveau in deze naam; hou het voorstel aan.</t>
        </is>
      </c>
    </row>
    <row r="6">
      <c r="A6" s="3" t="inlineStr">
        <is>
          <t>Columns to Match (rows to replace)</t>
        </is>
      </c>
      <c r="B6" s="6" t="inlineStr">
        <is>
          <t>date</t>
        </is>
      </c>
      <c r="C6" s="12" t="inlineStr">
        <is>
          <t>Voorstel; zoals bij de bestaande exports.</t>
        </is>
      </c>
    </row>
    <row r="7">
      <c r="A7" s="3" t="inlineStr">
        <is>
          <t>Schedule</t>
        </is>
      </c>
      <c r="B7" s="6" t="inlineStr">
        <is>
          <t>Daily · 00:00 UTC · Target Cell A1 · Authentication: Google Account</t>
        </is>
      </c>
    </row>
    <row r="8" ht="90" customHeight="1">
      <c r="A8" s="3" t="inlineStr">
        <is>
          <t>Query (gegenereerd — api_key blijft leeg)</t>
        </is>
      </c>
      <c r="B8" s="16">
        <f>"https://connectors.windsor.ai/"&amp;$B$2&amp;"?api_key="&amp;IF(Instellingen!$B$4&lt;&gt;"","&amp;date_preset="&amp;Instellingen!$B$4,"")&amp;"&amp;fields="&amp;_xlfn.TEXTJOIN(",",TRUE,$D$12:$D$80)&amp;IF($B$3&lt;&gt;"","&amp;select_accounts="&amp;$B$3,"")&amp;IF(Instellingen!$B$5&lt;&gt;"","&amp;_field_headers="&amp;Instellingen!$B$5,"")</f>
        <v/>
      </c>
    </row>
    <row r="9">
      <c r="A9" s="3" t="inlineStr">
        <is>
          <t>Aantal velden in de query</t>
        </is>
      </c>
      <c r="B9" s="17">
        <f>COUNTIF($C$12:$C$80,"x")</f>
        <v/>
      </c>
    </row>
    <row r="11">
      <c r="A11" s="8" t="inlineStr">
        <is>
          <t>Veld (Windsor-id)</t>
        </is>
      </c>
      <c r="B11" s="8" t="inlineStr">
        <is>
          <t>Gebruik in het dashboard</t>
        </is>
      </c>
      <c r="C11" s="8" t="inlineStr">
        <is>
          <t>Opnemen (x)</t>
        </is>
      </c>
      <c r="D11" s="8" t="inlineStr">
        <is>
          <t>→ query</t>
        </is>
      </c>
    </row>
    <row r="12">
      <c r="A12" s="9" t="inlineStr">
        <is>
          <t>date</t>
        </is>
      </c>
      <c r="B12" s="18" t="inlineStr">
        <is>
          <t>Datumkolom: 'Columns to Match' en periodefilter</t>
        </is>
      </c>
      <c r="C12" s="19" t="inlineStr">
        <is>
          <t>x</t>
        </is>
      </c>
      <c r="D12" s="20">
        <f>IF(AND($C12="x",$A12&lt;&gt;""),$A12,"")</f>
        <v/>
      </c>
    </row>
    <row r="13">
      <c r="A13" s="9" t="inlineStr">
        <is>
          <t>account_id</t>
        </is>
      </c>
      <c r="B13" s="18" t="inlineStr">
        <is>
          <t>Accountcontrole: alleen rijen van dit account tellen mee</t>
        </is>
      </c>
      <c r="C13" s="19" t="inlineStr">
        <is>
          <t>x</t>
        </is>
      </c>
      <c r="D13" s="20">
        <f>IF(AND($C13="x",$A13&lt;&gt;""),$A13,"")</f>
        <v/>
      </c>
    </row>
    <row r="14">
      <c r="A14" s="9" t="inlineStr">
        <is>
          <t>account_name</t>
        </is>
      </c>
      <c r="B14" s="18" t="inlineStr">
        <is>
          <t>Idem, leesbaar</t>
        </is>
      </c>
      <c r="C14" s="19" t="inlineStr">
        <is>
          <t>x</t>
        </is>
      </c>
      <c r="D14" s="20">
        <f>IF(AND($C14="x",$A14&lt;&gt;""),$A14,"")</f>
        <v/>
      </c>
    </row>
    <row r="15">
      <c r="A15" s="9" t="inlineStr">
        <is>
          <t>ad_id</t>
        </is>
      </c>
      <c r="B15" s="18" t="inlineStr">
        <is>
          <t>Identiteit van de advertentie (verplicht; blijft tekst)</t>
        </is>
      </c>
      <c r="C15" s="19" t="inlineStr">
        <is>
          <t>x</t>
        </is>
      </c>
      <c r="D15" s="20">
        <f>IF(AND($C15="x",$A15&lt;&gt;""),$A15,"")</f>
        <v/>
      </c>
    </row>
    <row r="16">
      <c r="A16" s="9" t="inlineStr">
        <is>
          <t>ad_name</t>
        </is>
      </c>
      <c r="B16" s="18" t="inlineStr">
        <is>
          <t>Advertentienaam</t>
        </is>
      </c>
      <c r="C16" s="19" t="inlineStr">
        <is>
          <t>x</t>
        </is>
      </c>
      <c r="D16" s="20">
        <f>IF(AND($C16="x",$A16&lt;&gt;""),$A16,"")</f>
        <v/>
      </c>
    </row>
    <row r="17">
      <c r="A17" s="9" t="inlineStr">
        <is>
          <t>campaign_id</t>
        </is>
      </c>
      <c r="B17" s="18" t="inlineStr">
        <is>
          <t>Campagne (geen fijnere korrel: één ad hoort bij één campagne)</t>
        </is>
      </c>
      <c r="C17" s="19" t="inlineStr">
        <is>
          <t>x</t>
        </is>
      </c>
      <c r="D17" s="20">
        <f>IF(AND($C17="x",$A17&lt;&gt;""),$A17,"")</f>
        <v/>
      </c>
    </row>
    <row r="18">
      <c r="A18" s="9" t="inlineStr">
        <is>
          <t>campaign_name</t>
        </is>
      </c>
      <c r="B18" s="18" t="inlineStr">
        <is>
          <t>Campagnenaam</t>
        </is>
      </c>
      <c r="C18" s="19" t="inlineStr">
        <is>
          <t>x</t>
        </is>
      </c>
      <c r="D18" s="20">
        <f>IF(AND($C18="x",$A18&lt;&gt;""),$A18,"")</f>
        <v/>
      </c>
    </row>
    <row r="19">
      <c r="A19" s="9" t="inlineStr">
        <is>
          <t>image_url</t>
        </is>
      </c>
      <c r="B19" s="18" t="inlineStr">
        <is>
          <t>Afbeelding</t>
        </is>
      </c>
      <c r="C19" s="19" t="inlineStr">
        <is>
          <t>x</t>
        </is>
      </c>
      <c r="D19" s="20">
        <f>IF(AND($C19="x",$A19&lt;&gt;""),$A19,"")</f>
        <v/>
      </c>
    </row>
    <row r="20">
      <c r="A20" s="9" t="inlineStr">
        <is>
          <t>impressions</t>
        </is>
      </c>
      <c r="B20" s="18" t="inlineStr">
        <is>
          <t>Vertoningen</t>
        </is>
      </c>
      <c r="C20" s="19" t="inlineStr">
        <is>
          <t>x</t>
        </is>
      </c>
      <c r="D20" s="20">
        <f>IF(AND($C20="x",$A20&lt;&gt;""),$A20,"")</f>
        <v/>
      </c>
    </row>
    <row r="21">
      <c r="A21" s="9" t="inlineStr">
        <is>
          <t>reach</t>
        </is>
      </c>
      <c r="B21" s="18" t="inlineStr">
        <is>
          <t>Bereik per dag</t>
        </is>
      </c>
      <c r="C21" s="19" t="inlineStr">
        <is>
          <t>x</t>
        </is>
      </c>
      <c r="D21" s="20">
        <f>IF(AND($C21="x",$A21&lt;&gt;""),$A21,"")</f>
        <v/>
      </c>
    </row>
    <row r="22">
      <c r="A22" s="9" t="inlineStr">
        <is>
          <t>clicks</t>
        </is>
      </c>
      <c r="B22" s="18" t="inlineStr">
        <is>
          <t>Kliks</t>
        </is>
      </c>
      <c r="C22" s="19" t="inlineStr">
        <is>
          <t>x</t>
        </is>
      </c>
      <c r="D22" s="20">
        <f>IF(AND($C22="x",$A22&lt;&gt;""),$A22,"")</f>
        <v/>
      </c>
    </row>
    <row r="23">
      <c r="A23" s="9" t="inlineStr">
        <is>
          <t>spend</t>
        </is>
      </c>
      <c r="B23" s="18" t="inlineStr">
        <is>
          <t>Kosten</t>
        </is>
      </c>
      <c r="C23" s="19" t="inlineStr">
        <is>
          <t>x</t>
        </is>
      </c>
      <c r="D23" s="20">
        <f>IF(AND($C23="x",$A23&lt;&gt;""),$A23,"")</f>
        <v/>
      </c>
    </row>
    <row r="24">
      <c r="A24" s="9" t="inlineStr">
        <is>
          <t>ctr</t>
        </is>
      </c>
      <c r="B24" s="18" t="inlineStr">
        <is>
          <t>CTR</t>
        </is>
      </c>
      <c r="C24" s="19" t="inlineStr">
        <is>
          <t>x</t>
        </is>
      </c>
      <c r="D24" s="20">
        <f>IF(AND($C24="x",$A24&lt;&gt;""),$A24,"")</f>
        <v/>
      </c>
    </row>
    <row r="25">
      <c r="A25" s="9" t="inlineStr">
        <is>
          <t>cpm</t>
        </is>
      </c>
      <c r="B25" s="18" t="inlineStr">
        <is>
          <t>CPM</t>
        </is>
      </c>
      <c r="C25" s="19" t="inlineStr">
        <is>
          <t>x</t>
        </is>
      </c>
      <c r="D25" s="20">
        <f>IF(AND($C25="x",$A25&lt;&gt;""),$A25,"")</f>
        <v/>
      </c>
    </row>
    <row r="26">
      <c r="A26" s="9" t="inlineStr">
        <is>
          <t>actions_post_reaction</t>
        </is>
      </c>
      <c r="B26" s="18" t="inlineStr">
        <is>
          <t>Reacties op de ad</t>
        </is>
      </c>
      <c r="C26" s="19" t="inlineStr">
        <is>
          <t>x</t>
        </is>
      </c>
      <c r="D26" s="20">
        <f>IF(AND($C26="x",$A26&lt;&gt;""),$A26,"")</f>
        <v/>
      </c>
    </row>
    <row r="27">
      <c r="A27" s="9" t="inlineStr">
        <is>
          <t>actions_comment</t>
        </is>
      </c>
      <c r="B27" s="18" t="inlineStr">
        <is>
          <t>Opmerkingen</t>
        </is>
      </c>
      <c r="C27" s="19" t="inlineStr">
        <is>
          <t>x</t>
        </is>
      </c>
      <c r="D27" s="20">
        <f>IF(AND($C27="x",$A27&lt;&gt;""),$A27,"")</f>
        <v/>
      </c>
    </row>
    <row r="28">
      <c r="A28" s="9" t="inlineStr">
        <is>
          <t>actions_post</t>
        </is>
      </c>
      <c r="B28" s="18" t="inlineStr">
        <is>
          <t>Gedeeld</t>
        </is>
      </c>
      <c r="C28" s="19" t="inlineStr">
        <is>
          <t>x</t>
        </is>
      </c>
      <c r="D28" s="20">
        <f>IF(AND($C28="x",$A28&lt;&gt;""),$A28,"")</f>
        <v/>
      </c>
    </row>
    <row r="29">
      <c r="A29" s="9" t="inlineStr">
        <is>
          <t>actions_onsite_conversion_post_save</t>
        </is>
      </c>
      <c r="B29" s="18" t="inlineStr">
        <is>
          <t>Opgeslagen</t>
        </is>
      </c>
      <c r="C29" s="19" t="inlineStr">
        <is>
          <t>x</t>
        </is>
      </c>
      <c r="D29" s="20">
        <f>IF(AND($C29="x",$A29&lt;&gt;""),$A29,"")</f>
        <v/>
      </c>
    </row>
    <row r="30">
      <c r="A30" s="9" t="inlineStr">
        <is>
          <t>effective_instagram_media__media_type</t>
        </is>
      </c>
      <c r="B30" s="18" t="inlineStr">
        <is>
          <t>Creatietype (IG)</t>
        </is>
      </c>
      <c r="C30" s="19" t="inlineStr">
        <is>
          <t>x</t>
        </is>
      </c>
      <c r="D30" s="20">
        <f>IF(AND($C30="x",$A30&lt;&gt;""),$A30,"")</f>
        <v/>
      </c>
    </row>
    <row r="31">
      <c r="A31" s="9" t="inlineStr">
        <is>
          <t>effective_instagram_media__media_product_type</t>
        </is>
      </c>
      <c r="B31" s="18" t="inlineStr">
        <is>
          <t>FEED / REELS (IG)</t>
        </is>
      </c>
      <c r="C31" s="19" t="inlineStr">
        <is>
          <t>x</t>
        </is>
      </c>
      <c r="D31" s="20">
        <f>IF(AND($C31="x",$A31&lt;&gt;""),$A31,"")</f>
        <v/>
      </c>
    </row>
    <row r="32">
      <c r="A32" s="9" t="inlineStr">
        <is>
          <t>object_type</t>
        </is>
      </c>
      <c r="B32" s="18" t="inlineStr">
        <is>
          <t>Creatietype terugval</t>
        </is>
      </c>
      <c r="C32" s="19" t="inlineStr">
        <is>
          <t>x</t>
        </is>
      </c>
      <c r="D32" s="20">
        <f>IF(AND($C32="x",$A32&lt;&gt;""),$A32,"")</f>
        <v/>
      </c>
    </row>
    <row r="33">
      <c r="A33" s="9" t="inlineStr">
        <is>
          <t>video_play_actions_video_view</t>
        </is>
      </c>
      <c r="B33" s="18" t="inlineStr">
        <is>
          <t>Video: plays</t>
        </is>
      </c>
      <c r="C33" s="19" t="inlineStr">
        <is>
          <t>x</t>
        </is>
      </c>
      <c r="D33" s="20">
        <f>IF(AND($C33="x",$A33&lt;&gt;""),$A33,"")</f>
        <v/>
      </c>
    </row>
    <row r="34">
      <c r="A34" s="9" t="inlineStr">
        <is>
          <t>video_p25_watched_actions_video_view</t>
        </is>
      </c>
      <c r="B34" s="18" t="inlineStr">
        <is>
          <t>Video: 25% bekeken</t>
        </is>
      </c>
      <c r="C34" s="19" t="inlineStr">
        <is>
          <t>x</t>
        </is>
      </c>
      <c r="D34" s="20">
        <f>IF(AND($C34="x",$A34&lt;&gt;""),$A34,"")</f>
        <v/>
      </c>
    </row>
    <row r="35">
      <c r="A35" s="9" t="inlineStr">
        <is>
          <t>video_p50_watched_actions_video_view</t>
        </is>
      </c>
      <c r="B35" s="18" t="inlineStr">
        <is>
          <t>Video: 50%</t>
        </is>
      </c>
      <c r="C35" s="19" t="inlineStr">
        <is>
          <t>x</t>
        </is>
      </c>
      <c r="D35" s="20">
        <f>IF(AND($C35="x",$A35&lt;&gt;""),$A35,"")</f>
        <v/>
      </c>
    </row>
    <row r="36">
      <c r="A36" s="9" t="inlineStr">
        <is>
          <t>video_p75_watched_actions_video_view</t>
        </is>
      </c>
      <c r="B36" s="18" t="inlineStr">
        <is>
          <t>Video: 75%</t>
        </is>
      </c>
      <c r="C36" s="19" t="inlineStr">
        <is>
          <t>x</t>
        </is>
      </c>
      <c r="D36" s="20">
        <f>IF(AND($C36="x",$A36&lt;&gt;""),$A36,"")</f>
        <v/>
      </c>
    </row>
    <row r="37">
      <c r="A37" s="9" t="inlineStr">
        <is>
          <t>video_p95_watched_actions_video_view</t>
        </is>
      </c>
      <c r="B37" s="18" t="inlineStr">
        <is>
          <t>Video: 95%</t>
        </is>
      </c>
      <c r="C37" s="19" t="inlineStr">
        <is>
          <t>x</t>
        </is>
      </c>
      <c r="D37" s="20">
        <f>IF(AND($C37="x",$A37&lt;&gt;""),$A37,"")</f>
        <v/>
      </c>
    </row>
    <row r="38">
      <c r="A38" s="9" t="inlineStr">
        <is>
          <t>video_p100_watched_actions_video_view</t>
        </is>
      </c>
      <c r="B38" s="18" t="inlineStr">
        <is>
          <t>Video: 100%</t>
        </is>
      </c>
      <c r="C38" s="19" t="inlineStr">
        <is>
          <t>x</t>
        </is>
      </c>
      <c r="D38" s="20">
        <f>IF(AND($C38="x",$A38&lt;&gt;""),$A38,"")</f>
        <v/>
      </c>
    </row>
    <row r="39">
      <c r="A39" s="9" t="inlineStr">
        <is>
          <t>video_avg_time_watched_actions_video_view</t>
        </is>
      </c>
      <c r="B39" s="18" t="inlineStr">
        <is>
          <t>Video: gemiddelde kijktijd (frontend weegt naar plays)</t>
        </is>
      </c>
      <c r="C39" s="19" t="inlineStr">
        <is>
          <t>x</t>
        </is>
      </c>
      <c r="D39" s="20">
        <f>IF(AND($C39="x",$A39&lt;&gt;""),$A39,"")</f>
        <v/>
      </c>
    </row>
    <row r="40">
      <c r="A40" s="9" t="inlineStr">
        <is>
          <t>actions_purchase</t>
        </is>
      </c>
      <c r="B40" s="18" t="inlineStr">
        <is>
          <t>Aankopen (web)</t>
        </is>
      </c>
      <c r="C40" s="19" t="inlineStr">
        <is>
          <t>x</t>
        </is>
      </c>
      <c r="D40" s="20">
        <f>IF(AND($C40="x",$A40&lt;&gt;""),$A40,"")</f>
        <v/>
      </c>
    </row>
    <row r="41">
      <c r="A41" s="9" t="inlineStr">
        <is>
          <t>actions_omni_purchase</t>
        </is>
      </c>
      <c r="B41" s="18" t="inlineStr">
        <is>
          <t>Aankopen omni — de aankoopdefinitie</t>
        </is>
      </c>
      <c r="C41" s="19" t="inlineStr">
        <is>
          <t>x</t>
        </is>
      </c>
      <c r="D41" s="20">
        <f>IF(AND($C41="x",$A41&lt;&gt;""),$A41,"")</f>
        <v/>
      </c>
    </row>
    <row r="42">
      <c r="A42" s="9" t="inlineStr">
        <is>
          <t>action_values_purchase</t>
        </is>
      </c>
      <c r="B42" s="18" t="inlineStr">
        <is>
          <t>Aankoopwaarde (web)</t>
        </is>
      </c>
      <c r="C42" s="19" t="inlineStr">
        <is>
          <t>x</t>
        </is>
      </c>
      <c r="D42" s="20">
        <f>IF(AND($C42="x",$A42&lt;&gt;""),$A42,"")</f>
        <v/>
      </c>
    </row>
    <row r="43">
      <c r="A43" s="9" t="inlineStr">
        <is>
          <t>action_values_omni_purchase</t>
        </is>
      </c>
      <c r="B43" s="18" t="inlineStr">
        <is>
          <t>Aankoopwaarde omni (ROAS)</t>
        </is>
      </c>
      <c r="C43" s="19" t="inlineStr">
        <is>
          <t>x</t>
        </is>
      </c>
      <c r="D43" s="20">
        <f>IF(AND($C43="x",$A43&lt;&gt;""),$A43,"")</f>
        <v/>
      </c>
    </row>
    <row r="44">
      <c r="A44" s="9" t="inlineStr">
        <is>
          <t>actions_lead</t>
        </is>
      </c>
      <c r="B44" s="18" t="inlineStr">
        <is>
          <t>Leads</t>
        </is>
      </c>
      <c r="C44" s="19" t="inlineStr">
        <is>
          <t>x</t>
        </is>
      </c>
      <c r="D44" s="20">
        <f>IF(AND($C44="x",$A44&lt;&gt;""),$A44,"")</f>
        <v/>
      </c>
    </row>
    <row r="45">
      <c r="A45" s="9" t="inlineStr">
        <is>
          <t>actions_omni_add_to_cart</t>
        </is>
      </c>
      <c r="B45" s="18" t="inlineStr">
        <is>
          <t>Funnel: winkelmand</t>
        </is>
      </c>
      <c r="C45" s="19" t="inlineStr">
        <is>
          <t>x</t>
        </is>
      </c>
      <c r="D45" s="20">
        <f>IF(AND($C45="x",$A45&lt;&gt;""),$A45,"")</f>
        <v/>
      </c>
    </row>
    <row r="46">
      <c r="A46" s="9" t="inlineStr">
        <is>
          <t>action_values_omni_add_to_cart</t>
        </is>
      </c>
      <c r="B46" s="18" t="inlineStr">
        <is>
          <t>Funnel: winkelmandwaarde</t>
        </is>
      </c>
      <c r="C46" s="19" t="inlineStr">
        <is>
          <t>x</t>
        </is>
      </c>
      <c r="D46" s="20">
        <f>IF(AND($C46="x",$A46&lt;&gt;""),$A46,"")</f>
        <v/>
      </c>
    </row>
    <row r="47">
      <c r="A47" s="9" t="inlineStr">
        <is>
          <t>actions_initiate_checkout</t>
        </is>
      </c>
      <c r="B47" s="18" t="inlineStr">
        <is>
          <t>Funnel: afrekenen (geen omni-veld)</t>
        </is>
      </c>
      <c r="C47" s="19" t="inlineStr">
        <is>
          <t>x</t>
        </is>
      </c>
      <c r="D47" s="20">
        <f>IF(AND($C47="x",$A47&lt;&gt;""),$A47,"")</f>
        <v/>
      </c>
    </row>
    <row r="48">
      <c r="A48" s="9" t="inlineStr">
        <is>
          <t>action_values_initiate_checkout</t>
        </is>
      </c>
      <c r="B48" s="18" t="inlineStr">
        <is>
          <t>Funnel: afrekenwaarde</t>
        </is>
      </c>
      <c r="C48" s="19" t="inlineStr">
        <is>
          <t>x</t>
        </is>
      </c>
      <c r="D48" s="20">
        <f>IF(AND($C48="x",$A48&lt;&gt;""),$A48,"")</f>
        <v/>
      </c>
    </row>
    <row r="49">
      <c r="A49" s="9" t="inlineStr">
        <is>
          <t>title</t>
        </is>
      </c>
      <c r="B49" s="18" t="inlineStr">
        <is>
          <t>Advertentietitel</t>
        </is>
      </c>
      <c r="C49" s="19" t="inlineStr">
        <is>
          <t>x</t>
        </is>
      </c>
      <c r="D49" s="20">
        <f>IF(AND($C49="x",$A49&lt;&gt;""),$A49,"")</f>
        <v/>
      </c>
    </row>
    <row r="50">
      <c r="A50" s="9" t="inlineStr">
        <is>
          <t>body</t>
        </is>
      </c>
      <c r="B50" s="18" t="inlineStr">
        <is>
          <t>Advertentietekst</t>
        </is>
      </c>
      <c r="C50" s="19" t="inlineStr">
        <is>
          <t>x</t>
        </is>
      </c>
      <c r="D50" s="20">
        <f>IF(AND($C50="x",$A50&lt;&gt;""),$A50,"")</f>
        <v/>
      </c>
    </row>
    <row r="51">
      <c r="A51" s="9" t="inlineStr">
        <is>
          <t>call_to_action_type</t>
        </is>
      </c>
      <c r="B51" s="18" t="inlineStr">
        <is>
          <t>CTA (in de praktijk vaak leeg)</t>
        </is>
      </c>
      <c r="C51" s="19" t="inlineStr">
        <is>
          <t>x</t>
        </is>
      </c>
      <c r="D51" s="20">
        <f>IF(AND($C51="x",$A51&lt;&gt;""),$A51,"")</f>
        <v/>
      </c>
    </row>
    <row r="52">
      <c r="A52" s="9" t="inlineStr">
        <is>
          <t>thumbnail_url</t>
        </is>
      </c>
      <c r="B52" s="18" t="inlineStr">
        <is>
          <t>Thumbnail</t>
        </is>
      </c>
      <c r="C52" s="19" t="inlineStr">
        <is>
          <t>x</t>
        </is>
      </c>
      <c r="D52" s="20">
        <f>IF(AND($C52="x",$A52&lt;&gt;""),$A52,"")</f>
        <v/>
      </c>
    </row>
    <row r="53">
      <c r="A53" s="9" t="inlineStr">
        <is>
          <t>link</t>
        </is>
      </c>
      <c r="B53" s="18" t="inlineStr">
        <is>
          <t>Link (vaak leeg)</t>
        </is>
      </c>
      <c r="C53" s="19" t="inlineStr">
        <is>
          <t>x</t>
        </is>
      </c>
      <c r="D53" s="20">
        <f>IF(AND($C53="x",$A53&lt;&gt;""),$A53,"")</f>
        <v/>
      </c>
    </row>
    <row r="54">
      <c r="A54" s="9" t="inlineStr">
        <is>
          <t>website_destination_url</t>
        </is>
      </c>
      <c r="B54" s="18" t="inlineStr">
        <is>
          <t>Bestemmings-URL</t>
        </is>
      </c>
      <c r="C54" s="19" t="inlineStr">
        <is>
          <t>x</t>
        </is>
      </c>
      <c r="D54" s="20">
        <f>IF(AND($C54="x",$A54&lt;&gt;""),$A54,"")</f>
        <v/>
      </c>
    </row>
    <row r="55">
      <c r="A55" s="9" t="inlineStr">
        <is>
          <t>instagram_profile_visits</t>
        </is>
      </c>
      <c r="B55" s="18" t="inlineStr">
        <is>
          <t>Profielbezoeken via de ad</t>
        </is>
      </c>
      <c r="C55" s="19" t="inlineStr">
        <is>
          <t>x</t>
        </is>
      </c>
      <c r="D55" s="20">
        <f>IF(AND($C55="x",$A55&lt;&gt;""),$A55,"")</f>
        <v/>
      </c>
    </row>
    <row r="56">
      <c r="A56" s="9" t="inlineStr">
        <is>
          <t>frequency</t>
        </is>
      </c>
      <c r="B56" s="18" t="inlineStr">
        <is>
          <t>NIET uit dagrijen te ontdubbelen — dashboard haalt dit live; laat uit</t>
        </is>
      </c>
      <c r="C56" s="19" t="n"/>
      <c r="D56" s="20">
        <f>IF(AND($C56="x",$A56&lt;&gt;""),$A56,"")</f>
        <v/>
      </c>
    </row>
    <row r="57">
      <c r="A57" s="14" t="inlineStr">
        <is>
          <t>Eigen veld toevoegen: zet hieronder het Windsor-veld-id in kolom A en een x in kolom C (tot rij 80).</t>
        </is>
      </c>
    </row>
    <row r="58">
      <c r="A58" s="21" t="n"/>
      <c r="C58" s="21" t="n"/>
      <c r="D58" s="20">
        <f>IF(AND($C58="x",$A58&lt;&gt;""),$A58,"")</f>
        <v/>
      </c>
    </row>
    <row r="59">
      <c r="A59" s="21" t="n"/>
      <c r="C59" s="21" t="n"/>
      <c r="D59" s="20">
        <f>IF(AND($C59="x",$A59&lt;&gt;""),$A59,"")</f>
        <v/>
      </c>
    </row>
    <row r="60">
      <c r="A60" s="21" t="n"/>
      <c r="C60" s="21" t="n"/>
      <c r="D60" s="20">
        <f>IF(AND($C60="x",$A60&lt;&gt;""),$A60,"")</f>
        <v/>
      </c>
    </row>
    <row r="61">
      <c r="A61" s="21" t="n"/>
      <c r="C61" s="21" t="n"/>
      <c r="D61" s="20">
        <f>IF(AND($C61="x",$A61&lt;&gt;""),$A61,"")</f>
        <v/>
      </c>
    </row>
    <row r="62">
      <c r="A62" s="21" t="n"/>
      <c r="C62" s="21" t="n"/>
      <c r="D62" s="20">
        <f>IF(AND($C62="x",$A62&lt;&gt;""),$A62,"")</f>
        <v/>
      </c>
    </row>
    <row r="63">
      <c r="A63" s="21" t="n"/>
      <c r="C63" s="21" t="n"/>
      <c r="D63" s="20">
        <f>IF(AND($C63="x",$A63&lt;&gt;""),$A63,"")</f>
        <v/>
      </c>
    </row>
    <row r="64">
      <c r="A64" s="21" t="n"/>
      <c r="C64" s="21" t="n"/>
      <c r="D64" s="20">
        <f>IF(AND($C64="x",$A64&lt;&gt;""),$A64,"")</f>
        <v/>
      </c>
    </row>
    <row r="65">
      <c r="A65" s="21" t="n"/>
      <c r="C65" s="21" t="n"/>
      <c r="D65" s="20">
        <f>IF(AND($C65="x",$A65&lt;&gt;""),$A65,"")</f>
        <v/>
      </c>
    </row>
    <row r="66">
      <c r="A66" s="21" t="n"/>
      <c r="C66" s="21" t="n"/>
      <c r="D66" s="20">
        <f>IF(AND($C66="x",$A66&lt;&gt;""),$A66,"")</f>
        <v/>
      </c>
    </row>
    <row r="67">
      <c r="A67" s="21" t="n"/>
      <c r="C67" s="21" t="n"/>
      <c r="D67" s="20">
        <f>IF(AND($C67="x",$A67&lt;&gt;""),$A67,"")</f>
        <v/>
      </c>
    </row>
    <row r="68">
      <c r="A68" s="21" t="n"/>
      <c r="C68" s="21" t="n"/>
      <c r="D68" s="20">
        <f>IF(AND($C68="x",$A68&lt;&gt;""),$A68,"")</f>
        <v/>
      </c>
    </row>
    <row r="69">
      <c r="A69" s="21" t="n"/>
      <c r="C69" s="21" t="n"/>
      <c r="D69" s="20">
        <f>IF(AND($C69="x",$A69&lt;&gt;""),$A69,"")</f>
        <v/>
      </c>
    </row>
    <row r="70">
      <c r="A70" s="21" t="n"/>
      <c r="C70" s="21" t="n"/>
      <c r="D70" s="20">
        <f>IF(AND($C70="x",$A70&lt;&gt;""),$A70,"")</f>
        <v/>
      </c>
    </row>
    <row r="71">
      <c r="A71" s="21" t="n"/>
      <c r="C71" s="21" t="n"/>
      <c r="D71" s="20">
        <f>IF(AND($C71="x",$A71&lt;&gt;""),$A71,"")</f>
        <v/>
      </c>
    </row>
    <row r="72">
      <c r="A72" s="21" t="n"/>
      <c r="C72" s="21" t="n"/>
      <c r="D72" s="20">
        <f>IF(AND($C72="x",$A72&lt;&gt;""),$A72,"")</f>
        <v/>
      </c>
    </row>
    <row r="73">
      <c r="A73" s="21" t="n"/>
      <c r="C73" s="21" t="n"/>
      <c r="D73" s="20">
        <f>IF(AND($C73="x",$A73&lt;&gt;""),$A73,"")</f>
        <v/>
      </c>
    </row>
    <row r="74">
      <c r="A74" s="21" t="n"/>
      <c r="C74" s="21" t="n"/>
      <c r="D74" s="20">
        <f>IF(AND($C74="x",$A74&lt;&gt;""),$A74,"")</f>
        <v/>
      </c>
    </row>
    <row r="75">
      <c r="A75" s="21" t="n"/>
      <c r="C75" s="21" t="n"/>
      <c r="D75" s="20">
        <f>IF(AND($C75="x",$A75&lt;&gt;""),$A75,"")</f>
        <v/>
      </c>
    </row>
    <row r="76">
      <c r="A76" s="21" t="n"/>
      <c r="C76" s="21" t="n"/>
      <c r="D76" s="20">
        <f>IF(AND($C76="x",$A76&lt;&gt;""),$A76,"")</f>
        <v/>
      </c>
    </row>
    <row r="77">
      <c r="A77" s="21" t="n"/>
      <c r="C77" s="21" t="n"/>
      <c r="D77" s="20">
        <f>IF(AND($C77="x",$A77&lt;&gt;""),$A77,"")</f>
        <v/>
      </c>
    </row>
    <row r="78">
      <c r="A78" s="21" t="n"/>
      <c r="C78" s="21" t="n"/>
      <c r="D78" s="20">
        <f>IF(AND($C78="x",$A78&lt;&gt;""),$A78,"")</f>
        <v/>
      </c>
    </row>
    <row r="79">
      <c r="A79" s="21" t="n"/>
      <c r="C79" s="21" t="n"/>
      <c r="D79" s="20">
        <f>IF(AND($C79="x",$A79&lt;&gt;""),$A79,"")</f>
        <v/>
      </c>
    </row>
    <row r="80">
      <c r="A80" s="21" t="n"/>
      <c r="C80" s="21" t="n"/>
      <c r="D80" s="20">
        <f>IF(AND($C80="x",$A80&lt;&gt;""),$A80,"")</f>
        <v/>
      </c>
    </row>
  </sheetData>
  <mergeCells count="2">
    <mergeCell ref="A57:C57"/>
    <mergeCell ref="B8:D8"/>
  </mergeCells>
  <dataValidations count="1">
    <dataValidation sqref="C12 C13 C14 C15 C16 C17 C18 C19 C20 C21 C22 C23 C24 C25 C26 C27 C28 C29 C30 C31 C32 C33 C34 C35 C36 C37 C38 C39 C40 C41 C42 C43 C44 C45 C46 C47 C48 C49 C50 C51 C52 C53 C54 C55 C56 C57 C58 C59 C60 C61 C62 C63 C64 C65 C66 C67 C68 C69 C70 C71 C72 C73 C74 C75 C76 C77 C78 C79 C80" showDropDown="0" showInputMessage="0" showErrorMessage="1" allowBlank="1" errorTitle="Alleen x" error="Zet een x om het veld op te nemen, of laat de cel leeg." type="list">
      <formula1>"x"</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0"/>
  <sheetViews>
    <sheetView workbookViewId="0">
      <pane ySplit="11" topLeftCell="A12" activePane="bottomLeft" state="frozen"/>
      <selection pane="bottomLeft" activeCell="A1" sqref="A1"/>
    </sheetView>
  </sheetViews>
  <sheetFormatPr baseColWidth="8" defaultRowHeight="15"/>
  <cols>
    <col width="44" customWidth="1" min="1" max="1"/>
    <col width="62" customWidth="1" min="2" max="2"/>
    <col width="13" customWidth="1" min="3" max="3"/>
    <col hidden="1" width="10" customWidth="1" min="4" max="4"/>
  </cols>
  <sheetData>
    <row r="1">
      <c r="A1" s="13" t="inlineStr">
        <is>
          <t>Windsor-export: Meta Ads doelgroep</t>
        </is>
      </c>
      <c r="C1" s="14" t="inlineStr">
        <is>
          <t>Status: Optioneel (anders live) · Ads → Meta doelgroepblok (aandelen)</t>
        </is>
      </c>
    </row>
    <row r="2">
      <c r="A2" s="3" t="inlineStr">
        <is>
          <t>Connector</t>
        </is>
      </c>
      <c r="B2" s="6" t="inlineStr">
        <is>
          <t>facebook</t>
        </is>
      </c>
    </row>
    <row r="3">
      <c r="A3" s="3" t="inlineStr">
        <is>
          <t>Account-id (uit Instellingen)</t>
        </is>
      </c>
      <c r="B3" s="15">
        <f>Instellingen!$B$11</f>
        <v/>
      </c>
    </row>
    <row r="4">
      <c r="A4" s="3" t="inlineStr">
        <is>
          <t>Taaknaam (Task name)</t>
        </is>
      </c>
      <c r="B4" s="15">
        <f>"Windsor - Sheets - Meta Ads doelgroep - "&amp;Instellingen!$B$3</f>
        <v/>
      </c>
    </row>
    <row r="5">
      <c r="A5" s="3" t="inlineStr">
        <is>
          <t>Tabnaam (Sheet Name)</t>
        </is>
      </c>
      <c r="B5" s="15">
        <f>"Meta Ads - doelgroep - "&amp;Instellingen!$B$3&amp;" - windsor.ai"</f>
        <v/>
      </c>
      <c r="C5" s="12" t="inlineStr">
        <is>
          <t>Herkenning in api/_sheetdata.js gaat op bron + niveau in deze naam; hou het voorstel aan.</t>
        </is>
      </c>
    </row>
    <row r="6">
      <c r="A6" s="3" t="inlineStr">
        <is>
          <t>Columns to Match (rows to replace)</t>
        </is>
      </c>
      <c r="B6" s="6" t="inlineStr">
        <is>
          <t>date</t>
        </is>
      </c>
      <c r="C6" s="12" t="inlineStr">
        <is>
          <t>Voorstel; zoals bij de bestaande exports.</t>
        </is>
      </c>
    </row>
    <row r="7">
      <c r="A7" s="3" t="inlineStr">
        <is>
          <t>Schedule</t>
        </is>
      </c>
      <c r="B7" s="6" t="inlineStr">
        <is>
          <t>Daily · 00:00 UTC · Target Cell A1 · Authentication: Google Account</t>
        </is>
      </c>
    </row>
    <row r="8" ht="90" customHeight="1">
      <c r="A8" s="3" t="inlineStr">
        <is>
          <t>Query (gegenereerd — api_key blijft leeg)</t>
        </is>
      </c>
      <c r="B8" s="16">
        <f>"https://connectors.windsor.ai/"&amp;$B$2&amp;"?api_key="&amp;IF(Instellingen!$B$4&lt;&gt;"","&amp;date_preset="&amp;Instellingen!$B$4,"")&amp;"&amp;fields="&amp;_xlfn.TEXTJOIN(",",TRUE,$D$12:$D$80)&amp;IF($B$3&lt;&gt;"","&amp;select_accounts="&amp;$B$3,"")&amp;IF(Instellingen!$B$5&lt;&gt;"","&amp;_field_headers="&amp;Instellingen!$B$5,"")</f>
        <v/>
      </c>
    </row>
    <row r="9">
      <c r="A9" s="3" t="inlineStr">
        <is>
          <t>Aantal velden in de query</t>
        </is>
      </c>
      <c r="B9" s="17">
        <f>COUNTIF($C$12:$C$80,"x")</f>
        <v/>
      </c>
    </row>
    <row r="11">
      <c r="A11" s="8" t="inlineStr">
        <is>
          <t>Veld (Windsor-id)</t>
        </is>
      </c>
      <c r="B11" s="8" t="inlineStr">
        <is>
          <t>Gebruik in het dashboard</t>
        </is>
      </c>
      <c r="C11" s="8" t="inlineStr">
        <is>
          <t>Opnemen (x)</t>
        </is>
      </c>
      <c r="D11" s="8" t="inlineStr">
        <is>
          <t>→ query</t>
        </is>
      </c>
    </row>
    <row r="12">
      <c r="A12" s="9" t="inlineStr">
        <is>
          <t>date</t>
        </is>
      </c>
      <c r="B12" s="18" t="inlineStr">
        <is>
          <t>Datumkolom: 'Columns to Match' en periodefilter</t>
        </is>
      </c>
      <c r="C12" s="19" t="inlineStr">
        <is>
          <t>x</t>
        </is>
      </c>
      <c r="D12" s="20">
        <f>IF(AND($C12="x",$A12&lt;&gt;""),$A12,"")</f>
        <v/>
      </c>
    </row>
    <row r="13">
      <c r="A13" s="9" t="inlineStr">
        <is>
          <t>account_id</t>
        </is>
      </c>
      <c r="B13" s="18" t="inlineStr">
        <is>
          <t>Accountcontrole: alleen rijen van dit account tellen mee</t>
        </is>
      </c>
      <c r="C13" s="19" t="inlineStr">
        <is>
          <t>x</t>
        </is>
      </c>
      <c r="D13" s="20">
        <f>IF(AND($C13="x",$A13&lt;&gt;""),$A13,"")</f>
        <v/>
      </c>
    </row>
    <row r="14">
      <c r="A14" s="9" t="inlineStr">
        <is>
          <t>account_name</t>
        </is>
      </c>
      <c r="B14" s="18" t="inlineStr">
        <is>
          <t>Idem, leesbaar</t>
        </is>
      </c>
      <c r="C14" s="19" t="inlineStr">
        <is>
          <t>x</t>
        </is>
      </c>
      <c r="D14" s="20">
        <f>IF(AND($C14="x",$A14&lt;&gt;""),$A14,"")</f>
        <v/>
      </c>
    </row>
    <row r="15">
      <c r="A15" s="9" t="inlineStr">
        <is>
          <t>age</t>
        </is>
      </c>
      <c r="B15" s="18" t="inlineStr">
        <is>
          <t>Leeftijdsgroep (kop 'Age Range')</t>
        </is>
      </c>
      <c r="C15" s="19" t="inlineStr">
        <is>
          <t>x</t>
        </is>
      </c>
      <c r="D15" s="20">
        <f>IF(AND($C15="x",$A15&lt;&gt;""),$A15,"")</f>
        <v/>
      </c>
    </row>
    <row r="16">
      <c r="A16" s="9" t="inlineStr">
        <is>
          <t>gender</t>
        </is>
      </c>
      <c r="B16" s="18" t="inlineStr">
        <is>
          <t>Geslacht</t>
        </is>
      </c>
      <c r="C16" s="19" t="inlineStr">
        <is>
          <t>x</t>
        </is>
      </c>
      <c r="D16" s="20">
        <f>IF(AND($C16="x",$A16&lt;&gt;""),$A16,"")</f>
        <v/>
      </c>
    </row>
    <row r="17">
      <c r="A17" s="9" t="inlineStr">
        <is>
          <t>spend</t>
        </is>
      </c>
      <c r="B17" s="18" t="inlineStr">
        <is>
          <t>Kosten</t>
        </is>
      </c>
      <c r="C17" s="19" t="inlineStr">
        <is>
          <t>x</t>
        </is>
      </c>
      <c r="D17" s="20">
        <f>IF(AND($C17="x",$A17&lt;&gt;""),$A17,"")</f>
        <v/>
      </c>
    </row>
    <row r="18">
      <c r="A18" s="9" t="inlineStr">
        <is>
          <t>impressions</t>
        </is>
      </c>
      <c r="B18" s="18" t="inlineStr">
        <is>
          <t>Vertoningen</t>
        </is>
      </c>
      <c r="C18" s="19" t="inlineStr">
        <is>
          <t>x</t>
        </is>
      </c>
      <c r="D18" s="20">
        <f>IF(AND($C18="x",$A18&lt;&gt;""),$A18,"")</f>
        <v/>
      </c>
    </row>
    <row r="19">
      <c r="A19" s="9" t="inlineStr">
        <is>
          <t>clicks</t>
        </is>
      </c>
      <c r="B19" s="18" t="inlineStr">
        <is>
          <t>Kliks</t>
        </is>
      </c>
      <c r="C19" s="19" t="inlineStr">
        <is>
          <t>x</t>
        </is>
      </c>
      <c r="D19" s="20">
        <f>IF(AND($C19="x",$A19&lt;&gt;""),$A19,"")</f>
        <v/>
      </c>
    </row>
    <row r="20">
      <c r="A20" s="9" t="inlineStr">
        <is>
          <t>actions_add_to_cart</t>
        </is>
      </c>
      <c r="B20" s="18" t="inlineStr">
        <is>
          <t>Winkelmand (gewoon veld: omni weigert deze breakdown)</t>
        </is>
      </c>
      <c r="C20" s="19" t="inlineStr">
        <is>
          <t>x</t>
        </is>
      </c>
      <c r="D20" s="20">
        <f>IF(AND($C20="x",$A20&lt;&gt;""),$A20,"")</f>
        <v/>
      </c>
    </row>
    <row r="21">
      <c r="A21" s="9" t="inlineStr">
        <is>
          <t>actions_initiate_checkout</t>
        </is>
      </c>
      <c r="B21" s="18" t="inlineStr">
        <is>
          <t>Afrekenen</t>
        </is>
      </c>
      <c r="C21" s="19" t="inlineStr">
        <is>
          <t>x</t>
        </is>
      </c>
      <c r="D21" s="20">
        <f>IF(AND($C21="x",$A21&lt;&gt;""),$A21,"")</f>
        <v/>
      </c>
    </row>
    <row r="22">
      <c r="A22" s="9" t="inlineStr">
        <is>
          <t>actions_purchase</t>
        </is>
      </c>
      <c r="B22" s="18" t="inlineStr">
        <is>
          <t>Aankopen</t>
        </is>
      </c>
      <c r="C22" s="19" t="inlineStr">
        <is>
          <t>x</t>
        </is>
      </c>
      <c r="D22" s="20">
        <f>IF(AND($C22="x",$A22&lt;&gt;""),$A22,"")</f>
        <v/>
      </c>
    </row>
    <row r="23">
      <c r="A23" s="9" t="inlineStr">
        <is>
          <t>action_values_purchase</t>
        </is>
      </c>
      <c r="B23" s="18" t="inlineStr">
        <is>
          <t>Aankoopwaarde</t>
        </is>
      </c>
      <c r="C23" s="19" t="inlineStr">
        <is>
          <t>x</t>
        </is>
      </c>
      <c r="D23" s="20">
        <f>IF(AND($C23="x",$A23&lt;&gt;""),$A23,"")</f>
        <v/>
      </c>
    </row>
    <row r="24">
      <c r="A24" s="9" t="inlineStr">
        <is>
          <t>actions_lead</t>
        </is>
      </c>
      <c r="B24" s="18" t="inlineStr">
        <is>
          <t>Leads</t>
        </is>
      </c>
      <c r="C24" s="19" t="inlineStr">
        <is>
          <t>x</t>
        </is>
      </c>
      <c r="D24" s="20">
        <f>IF(AND($C24="x",$A24&lt;&gt;""),$A24,"")</f>
        <v/>
      </c>
    </row>
    <row r="25">
      <c r="A25" s="14" t="inlineStr">
        <is>
          <t>Eigen veld toevoegen: zet hieronder het Windsor-veld-id in kolom A en een x in kolom C (tot rij 80).</t>
        </is>
      </c>
    </row>
    <row r="26">
      <c r="A26" s="21" t="n"/>
      <c r="C26" s="21" t="n"/>
      <c r="D26" s="20">
        <f>IF(AND($C26="x",$A26&lt;&gt;""),$A26,"")</f>
        <v/>
      </c>
    </row>
    <row r="27">
      <c r="A27" s="21" t="n"/>
      <c r="C27" s="21" t="n"/>
      <c r="D27" s="20">
        <f>IF(AND($C27="x",$A27&lt;&gt;""),$A27,"")</f>
        <v/>
      </c>
    </row>
    <row r="28">
      <c r="A28" s="21" t="n"/>
      <c r="C28" s="21" t="n"/>
      <c r="D28" s="20">
        <f>IF(AND($C28="x",$A28&lt;&gt;""),$A28,"")</f>
        <v/>
      </c>
    </row>
    <row r="29">
      <c r="A29" s="21" t="n"/>
      <c r="C29" s="21" t="n"/>
      <c r="D29" s="20">
        <f>IF(AND($C29="x",$A29&lt;&gt;""),$A29,"")</f>
        <v/>
      </c>
    </row>
    <row r="30">
      <c r="A30" s="21" t="n"/>
      <c r="C30" s="21" t="n"/>
      <c r="D30" s="20">
        <f>IF(AND($C30="x",$A30&lt;&gt;""),$A30,"")</f>
        <v/>
      </c>
    </row>
    <row r="31">
      <c r="A31" s="21" t="n"/>
      <c r="C31" s="21" t="n"/>
      <c r="D31" s="20">
        <f>IF(AND($C31="x",$A31&lt;&gt;""),$A31,"")</f>
        <v/>
      </c>
    </row>
    <row r="32">
      <c r="A32" s="21" t="n"/>
      <c r="C32" s="21" t="n"/>
      <c r="D32" s="20">
        <f>IF(AND($C32="x",$A32&lt;&gt;""),$A32,"")</f>
        <v/>
      </c>
    </row>
    <row r="33">
      <c r="A33" s="21" t="n"/>
      <c r="C33" s="21" t="n"/>
      <c r="D33" s="20">
        <f>IF(AND($C33="x",$A33&lt;&gt;""),$A33,"")</f>
        <v/>
      </c>
    </row>
    <row r="34">
      <c r="A34" s="21" t="n"/>
      <c r="C34" s="21" t="n"/>
      <c r="D34" s="20">
        <f>IF(AND($C34="x",$A34&lt;&gt;""),$A34,"")</f>
        <v/>
      </c>
    </row>
    <row r="35">
      <c r="A35" s="21" t="n"/>
      <c r="C35" s="21" t="n"/>
      <c r="D35" s="20">
        <f>IF(AND($C35="x",$A35&lt;&gt;""),$A35,"")</f>
        <v/>
      </c>
    </row>
    <row r="36">
      <c r="A36" s="21" t="n"/>
      <c r="C36" s="21" t="n"/>
      <c r="D36" s="20">
        <f>IF(AND($C36="x",$A36&lt;&gt;""),$A36,"")</f>
        <v/>
      </c>
    </row>
    <row r="37">
      <c r="A37" s="21" t="n"/>
      <c r="C37" s="21" t="n"/>
      <c r="D37" s="20">
        <f>IF(AND($C37="x",$A37&lt;&gt;""),$A37,"")</f>
        <v/>
      </c>
    </row>
    <row r="38">
      <c r="A38" s="21" t="n"/>
      <c r="C38" s="21" t="n"/>
      <c r="D38" s="20">
        <f>IF(AND($C38="x",$A38&lt;&gt;""),$A38,"")</f>
        <v/>
      </c>
    </row>
    <row r="39">
      <c r="A39" s="21" t="n"/>
      <c r="C39" s="21" t="n"/>
      <c r="D39" s="20">
        <f>IF(AND($C39="x",$A39&lt;&gt;""),$A39,"")</f>
        <v/>
      </c>
    </row>
    <row r="40">
      <c r="A40" s="21" t="n"/>
      <c r="C40" s="21" t="n"/>
      <c r="D40" s="20">
        <f>IF(AND($C40="x",$A40&lt;&gt;""),$A40,"")</f>
        <v/>
      </c>
    </row>
    <row r="41">
      <c r="A41" s="21" t="n"/>
      <c r="C41" s="21" t="n"/>
      <c r="D41" s="20">
        <f>IF(AND($C41="x",$A41&lt;&gt;""),$A41,"")</f>
        <v/>
      </c>
    </row>
    <row r="42">
      <c r="A42" s="21" t="n"/>
      <c r="C42" s="21" t="n"/>
      <c r="D42" s="20">
        <f>IF(AND($C42="x",$A42&lt;&gt;""),$A42,"")</f>
        <v/>
      </c>
    </row>
    <row r="43">
      <c r="A43" s="21" t="n"/>
      <c r="C43" s="21" t="n"/>
      <c r="D43" s="20">
        <f>IF(AND($C43="x",$A43&lt;&gt;""),$A43,"")</f>
        <v/>
      </c>
    </row>
    <row r="44">
      <c r="A44" s="21" t="n"/>
      <c r="C44" s="21" t="n"/>
      <c r="D44" s="20">
        <f>IF(AND($C44="x",$A44&lt;&gt;""),$A44,"")</f>
        <v/>
      </c>
    </row>
    <row r="45">
      <c r="A45" s="21" t="n"/>
      <c r="C45" s="21" t="n"/>
      <c r="D45" s="20">
        <f>IF(AND($C45="x",$A45&lt;&gt;""),$A45,"")</f>
        <v/>
      </c>
    </row>
    <row r="46">
      <c r="A46" s="21" t="n"/>
      <c r="C46" s="21" t="n"/>
      <c r="D46" s="20">
        <f>IF(AND($C46="x",$A46&lt;&gt;""),$A46,"")</f>
        <v/>
      </c>
    </row>
    <row r="47">
      <c r="A47" s="21" t="n"/>
      <c r="C47" s="21" t="n"/>
      <c r="D47" s="20">
        <f>IF(AND($C47="x",$A47&lt;&gt;""),$A47,"")</f>
        <v/>
      </c>
    </row>
    <row r="48">
      <c r="A48" s="21" t="n"/>
      <c r="C48" s="21" t="n"/>
      <c r="D48" s="20">
        <f>IF(AND($C48="x",$A48&lt;&gt;""),$A48,"")</f>
        <v/>
      </c>
    </row>
    <row r="49">
      <c r="A49" s="21" t="n"/>
      <c r="C49" s="21" t="n"/>
      <c r="D49" s="20">
        <f>IF(AND($C49="x",$A49&lt;&gt;""),$A49,"")</f>
        <v/>
      </c>
    </row>
    <row r="50">
      <c r="A50" s="21" t="n"/>
      <c r="C50" s="21" t="n"/>
      <c r="D50" s="20">
        <f>IF(AND($C50="x",$A50&lt;&gt;""),$A50,"")</f>
        <v/>
      </c>
    </row>
    <row r="51">
      <c r="A51" s="21" t="n"/>
      <c r="C51" s="21" t="n"/>
      <c r="D51" s="20">
        <f>IF(AND($C51="x",$A51&lt;&gt;""),$A51,"")</f>
        <v/>
      </c>
    </row>
    <row r="52">
      <c r="A52" s="21" t="n"/>
      <c r="C52" s="21" t="n"/>
      <c r="D52" s="20">
        <f>IF(AND($C52="x",$A52&lt;&gt;""),$A52,"")</f>
        <v/>
      </c>
    </row>
    <row r="53">
      <c r="A53" s="21" t="n"/>
      <c r="C53" s="21" t="n"/>
      <c r="D53" s="20">
        <f>IF(AND($C53="x",$A53&lt;&gt;""),$A53,"")</f>
        <v/>
      </c>
    </row>
    <row r="54">
      <c r="A54" s="21" t="n"/>
      <c r="C54" s="21" t="n"/>
      <c r="D54" s="20">
        <f>IF(AND($C54="x",$A54&lt;&gt;""),$A54,"")</f>
        <v/>
      </c>
    </row>
    <row r="55">
      <c r="A55" s="21" t="n"/>
      <c r="C55" s="21" t="n"/>
      <c r="D55" s="20">
        <f>IF(AND($C55="x",$A55&lt;&gt;""),$A55,"")</f>
        <v/>
      </c>
    </row>
    <row r="56">
      <c r="A56" s="21" t="n"/>
      <c r="C56" s="21" t="n"/>
      <c r="D56" s="20">
        <f>IF(AND($C56="x",$A56&lt;&gt;""),$A56,"")</f>
        <v/>
      </c>
    </row>
    <row r="57">
      <c r="A57" s="21" t="n"/>
      <c r="C57" s="21" t="n"/>
      <c r="D57" s="20">
        <f>IF(AND($C57="x",$A57&lt;&gt;""),$A57,"")</f>
        <v/>
      </c>
    </row>
    <row r="58">
      <c r="A58" s="21" t="n"/>
      <c r="C58" s="21" t="n"/>
      <c r="D58" s="20">
        <f>IF(AND($C58="x",$A58&lt;&gt;""),$A58,"")</f>
        <v/>
      </c>
    </row>
    <row r="59">
      <c r="A59" s="21" t="n"/>
      <c r="C59" s="21" t="n"/>
      <c r="D59" s="20">
        <f>IF(AND($C59="x",$A59&lt;&gt;""),$A59,"")</f>
        <v/>
      </c>
    </row>
    <row r="60">
      <c r="A60" s="21" t="n"/>
      <c r="C60" s="21" t="n"/>
      <c r="D60" s="20">
        <f>IF(AND($C60="x",$A60&lt;&gt;""),$A60,"")</f>
        <v/>
      </c>
    </row>
    <row r="61">
      <c r="A61" s="21" t="n"/>
      <c r="C61" s="21" t="n"/>
      <c r="D61" s="20">
        <f>IF(AND($C61="x",$A61&lt;&gt;""),$A61,"")</f>
        <v/>
      </c>
    </row>
    <row r="62">
      <c r="A62" s="21" t="n"/>
      <c r="C62" s="21" t="n"/>
      <c r="D62" s="20">
        <f>IF(AND($C62="x",$A62&lt;&gt;""),$A62,"")</f>
        <v/>
      </c>
    </row>
    <row r="63">
      <c r="A63" s="21" t="n"/>
      <c r="C63" s="21" t="n"/>
      <c r="D63" s="20">
        <f>IF(AND($C63="x",$A63&lt;&gt;""),$A63,"")</f>
        <v/>
      </c>
    </row>
    <row r="64">
      <c r="A64" s="21" t="n"/>
      <c r="C64" s="21" t="n"/>
      <c r="D64" s="20">
        <f>IF(AND($C64="x",$A64&lt;&gt;""),$A64,"")</f>
        <v/>
      </c>
    </row>
    <row r="65">
      <c r="A65" s="21" t="n"/>
      <c r="C65" s="21" t="n"/>
      <c r="D65" s="20">
        <f>IF(AND($C65="x",$A65&lt;&gt;""),$A65,"")</f>
        <v/>
      </c>
    </row>
    <row r="66">
      <c r="A66" s="21" t="n"/>
      <c r="C66" s="21" t="n"/>
      <c r="D66" s="20">
        <f>IF(AND($C66="x",$A66&lt;&gt;""),$A66,"")</f>
        <v/>
      </c>
    </row>
    <row r="67">
      <c r="A67" s="21" t="n"/>
      <c r="C67" s="21" t="n"/>
      <c r="D67" s="20">
        <f>IF(AND($C67="x",$A67&lt;&gt;""),$A67,"")</f>
        <v/>
      </c>
    </row>
    <row r="68">
      <c r="A68" s="21" t="n"/>
      <c r="C68" s="21" t="n"/>
      <c r="D68" s="20">
        <f>IF(AND($C68="x",$A68&lt;&gt;""),$A68,"")</f>
        <v/>
      </c>
    </row>
    <row r="69">
      <c r="A69" s="21" t="n"/>
      <c r="C69" s="21" t="n"/>
      <c r="D69" s="20">
        <f>IF(AND($C69="x",$A69&lt;&gt;""),$A69,"")</f>
        <v/>
      </c>
    </row>
    <row r="70">
      <c r="A70" s="21" t="n"/>
      <c r="C70" s="21" t="n"/>
      <c r="D70" s="20">
        <f>IF(AND($C70="x",$A70&lt;&gt;""),$A70,"")</f>
        <v/>
      </c>
    </row>
    <row r="71">
      <c r="A71" s="21" t="n"/>
      <c r="C71" s="21" t="n"/>
      <c r="D71" s="20">
        <f>IF(AND($C71="x",$A71&lt;&gt;""),$A71,"")</f>
        <v/>
      </c>
    </row>
    <row r="72">
      <c r="A72" s="21" t="n"/>
      <c r="C72" s="21" t="n"/>
      <c r="D72" s="20">
        <f>IF(AND($C72="x",$A72&lt;&gt;""),$A72,"")</f>
        <v/>
      </c>
    </row>
    <row r="73">
      <c r="A73" s="21" t="n"/>
      <c r="C73" s="21" t="n"/>
      <c r="D73" s="20">
        <f>IF(AND($C73="x",$A73&lt;&gt;""),$A73,"")</f>
        <v/>
      </c>
    </row>
    <row r="74">
      <c r="A74" s="21" t="n"/>
      <c r="C74" s="21" t="n"/>
      <c r="D74" s="20">
        <f>IF(AND($C74="x",$A74&lt;&gt;""),$A74,"")</f>
        <v/>
      </c>
    </row>
    <row r="75">
      <c r="A75" s="21" t="n"/>
      <c r="C75" s="21" t="n"/>
      <c r="D75" s="20">
        <f>IF(AND($C75="x",$A75&lt;&gt;""),$A75,"")</f>
        <v/>
      </c>
    </row>
    <row r="76">
      <c r="A76" s="21" t="n"/>
      <c r="C76" s="21" t="n"/>
      <c r="D76" s="20">
        <f>IF(AND($C76="x",$A76&lt;&gt;""),$A76,"")</f>
        <v/>
      </c>
    </row>
    <row r="77">
      <c r="A77" s="21" t="n"/>
      <c r="C77" s="21" t="n"/>
      <c r="D77" s="20">
        <f>IF(AND($C77="x",$A77&lt;&gt;""),$A77,"")</f>
        <v/>
      </c>
    </row>
    <row r="78">
      <c r="A78" s="21" t="n"/>
      <c r="C78" s="21" t="n"/>
      <c r="D78" s="20">
        <f>IF(AND($C78="x",$A78&lt;&gt;""),$A78,"")</f>
        <v/>
      </c>
    </row>
    <row r="79">
      <c r="A79" s="21" t="n"/>
      <c r="C79" s="21" t="n"/>
      <c r="D79" s="20">
        <f>IF(AND($C79="x",$A79&lt;&gt;""),$A79,"")</f>
        <v/>
      </c>
    </row>
    <row r="80">
      <c r="A80" s="21" t="n"/>
      <c r="C80" s="21" t="n"/>
      <c r="D80" s="20">
        <f>IF(AND($C80="x",$A80&lt;&gt;""),$A80,"")</f>
        <v/>
      </c>
    </row>
  </sheetData>
  <mergeCells count="2">
    <mergeCell ref="A25:C25"/>
    <mergeCell ref="B8:D8"/>
  </mergeCells>
  <dataValidations count="1">
    <dataValidation sqref="C12 C13 C14 C15 C16 C17 C18 C19 C20 C21 C22 C23 C24 C25 C26 C27 C28 C29 C30 C31 C32 C33 C34 C35 C36 C37 C38 C39 C40 C41 C42 C43 C44 C45 C46 C47 C48 C49 C50 C51 C52 C53 C54 C55 C56 C57 C58 C59 C60 C61 C62 C63 C64 C65 C66 C67 C68 C69 C70 C71 C72 C73 C74 C75 C76 C77 C78 C79 C80" showDropDown="0" showInputMessage="0" showErrorMessage="1" allowBlank="1" errorTitle="Alleen x" error="Zet een x om het veld op te nemen, of laat de cel leeg." type="list">
      <formula1>"x"</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0"/>
  <sheetViews>
    <sheetView workbookViewId="0">
      <pane ySplit="11" topLeftCell="A12" activePane="bottomLeft" state="frozen"/>
      <selection pane="bottomLeft" activeCell="A1" sqref="A1"/>
    </sheetView>
  </sheetViews>
  <sheetFormatPr baseColWidth="8" defaultRowHeight="15"/>
  <cols>
    <col width="44" customWidth="1" min="1" max="1"/>
    <col width="62" customWidth="1" min="2" max="2"/>
    <col width="13" customWidth="1" min="3" max="3"/>
    <col hidden="1" width="10" customWidth="1" min="4" max="4"/>
  </cols>
  <sheetData>
    <row r="1">
      <c r="A1" s="13" t="inlineStr">
        <is>
          <t>Windsor-export: Meta Ads regio</t>
        </is>
      </c>
      <c r="C1" s="14" t="inlineStr">
        <is>
          <t>Status: Optioneel (anders live) · Ads → Meta regio</t>
        </is>
      </c>
    </row>
    <row r="2">
      <c r="A2" s="3" t="inlineStr">
        <is>
          <t>Connector</t>
        </is>
      </c>
      <c r="B2" s="6" t="inlineStr">
        <is>
          <t>facebook</t>
        </is>
      </c>
    </row>
    <row r="3">
      <c r="A3" s="3" t="inlineStr">
        <is>
          <t>Account-id (uit Instellingen)</t>
        </is>
      </c>
      <c r="B3" s="15">
        <f>Instellingen!$B$11</f>
        <v/>
      </c>
    </row>
    <row r="4">
      <c r="A4" s="3" t="inlineStr">
        <is>
          <t>Taaknaam (Task name)</t>
        </is>
      </c>
      <c r="B4" s="15">
        <f>"Windsor - Sheets - Meta Ads regio - "&amp;Instellingen!$B$3</f>
        <v/>
      </c>
    </row>
    <row r="5">
      <c r="A5" s="3" t="inlineStr">
        <is>
          <t>Tabnaam (Sheet Name)</t>
        </is>
      </c>
      <c r="B5" s="15">
        <f>"Meta Ads - regio - "&amp;Instellingen!$B$3&amp;" - windsor.ai"</f>
        <v/>
      </c>
      <c r="C5" s="12" t="inlineStr">
        <is>
          <t>Herkenning in api/_sheetdata.js gaat op bron + niveau in deze naam; hou het voorstel aan.</t>
        </is>
      </c>
    </row>
    <row r="6">
      <c r="A6" s="3" t="inlineStr">
        <is>
          <t>Columns to Match (rows to replace)</t>
        </is>
      </c>
      <c r="B6" s="6" t="inlineStr">
        <is>
          <t>date</t>
        </is>
      </c>
      <c r="C6" s="12" t="inlineStr">
        <is>
          <t>Voorstel; zoals bij de bestaande exports.</t>
        </is>
      </c>
    </row>
    <row r="7">
      <c r="A7" s="3" t="inlineStr">
        <is>
          <t>Schedule</t>
        </is>
      </c>
      <c r="B7" s="6" t="inlineStr">
        <is>
          <t>Daily · 00:00 UTC · Target Cell A1 · Authentication: Google Account</t>
        </is>
      </c>
    </row>
    <row r="8" ht="90" customHeight="1">
      <c r="A8" s="3" t="inlineStr">
        <is>
          <t>Query (gegenereerd — api_key blijft leeg)</t>
        </is>
      </c>
      <c r="B8" s="16">
        <f>"https://connectors.windsor.ai/"&amp;$B$2&amp;"?api_key="&amp;IF(Instellingen!$B$4&lt;&gt;"","&amp;date_preset="&amp;Instellingen!$B$4,"")&amp;"&amp;fields="&amp;_xlfn.TEXTJOIN(",",TRUE,$D$12:$D$80)&amp;IF($B$3&lt;&gt;"","&amp;select_accounts="&amp;$B$3,"")&amp;IF(Instellingen!$B$5&lt;&gt;"","&amp;_field_headers="&amp;Instellingen!$B$5,"")</f>
        <v/>
      </c>
    </row>
    <row r="9">
      <c r="A9" s="3" t="inlineStr">
        <is>
          <t>Aantal velden in de query</t>
        </is>
      </c>
      <c r="B9" s="17">
        <f>COUNTIF($C$12:$C$80,"x")</f>
        <v/>
      </c>
    </row>
    <row r="11">
      <c r="A11" s="8" t="inlineStr">
        <is>
          <t>Veld (Windsor-id)</t>
        </is>
      </c>
      <c r="B11" s="8" t="inlineStr">
        <is>
          <t>Gebruik in het dashboard</t>
        </is>
      </c>
      <c r="C11" s="8" t="inlineStr">
        <is>
          <t>Opnemen (x)</t>
        </is>
      </c>
      <c r="D11" s="8" t="inlineStr">
        <is>
          <t>→ query</t>
        </is>
      </c>
    </row>
    <row r="12">
      <c r="A12" s="9" t="inlineStr">
        <is>
          <t>date</t>
        </is>
      </c>
      <c r="B12" s="18" t="inlineStr">
        <is>
          <t>Datumkolom: 'Columns to Match' en periodefilter</t>
        </is>
      </c>
      <c r="C12" s="19" t="inlineStr">
        <is>
          <t>x</t>
        </is>
      </c>
      <c r="D12" s="20">
        <f>IF(AND($C12="x",$A12&lt;&gt;""),$A12,"")</f>
        <v/>
      </c>
    </row>
    <row r="13">
      <c r="A13" s="9" t="inlineStr">
        <is>
          <t>account_id</t>
        </is>
      </c>
      <c r="B13" s="18" t="inlineStr">
        <is>
          <t>Accountcontrole: alleen rijen van dit account tellen mee</t>
        </is>
      </c>
      <c r="C13" s="19" t="inlineStr">
        <is>
          <t>x</t>
        </is>
      </c>
      <c r="D13" s="20">
        <f>IF(AND($C13="x",$A13&lt;&gt;""),$A13,"")</f>
        <v/>
      </c>
    </row>
    <row r="14">
      <c r="A14" s="9" t="inlineStr">
        <is>
          <t>account_name</t>
        </is>
      </c>
      <c r="B14" s="18" t="inlineStr">
        <is>
          <t>Idem, leesbaar</t>
        </is>
      </c>
      <c r="C14" s="19" t="inlineStr">
        <is>
          <t>x</t>
        </is>
      </c>
      <c r="D14" s="20">
        <f>IF(AND($C14="x",$A14&lt;&gt;""),$A14,"")</f>
        <v/>
      </c>
    </row>
    <row r="15">
      <c r="A15" s="9" t="inlineStr">
        <is>
          <t>region</t>
        </is>
      </c>
      <c r="B15" s="18" t="inlineStr">
        <is>
          <t>Regio</t>
        </is>
      </c>
      <c r="C15" s="19" t="inlineStr">
        <is>
          <t>x</t>
        </is>
      </c>
      <c r="D15" s="20">
        <f>IF(AND($C15="x",$A15&lt;&gt;""),$A15,"")</f>
        <v/>
      </c>
    </row>
    <row r="16">
      <c r="A16" s="9" t="inlineStr">
        <is>
          <t>spend</t>
        </is>
      </c>
      <c r="B16" s="18" t="inlineStr">
        <is>
          <t>Kosten</t>
        </is>
      </c>
      <c r="C16" s="19" t="inlineStr">
        <is>
          <t>x</t>
        </is>
      </c>
      <c r="D16" s="20">
        <f>IF(AND($C16="x",$A16&lt;&gt;""),$A16,"")</f>
        <v/>
      </c>
    </row>
    <row r="17">
      <c r="A17" s="9" t="inlineStr">
        <is>
          <t>impressions</t>
        </is>
      </c>
      <c r="B17" s="18" t="inlineStr">
        <is>
          <t>Vertoningen</t>
        </is>
      </c>
      <c r="C17" s="19" t="inlineStr">
        <is>
          <t>x</t>
        </is>
      </c>
      <c r="D17" s="20">
        <f>IF(AND($C17="x",$A17&lt;&gt;""),$A17,"")</f>
        <v/>
      </c>
    </row>
    <row r="18">
      <c r="A18" s="9" t="inlineStr">
        <is>
          <t>clicks</t>
        </is>
      </c>
      <c r="B18" s="18" t="inlineStr">
        <is>
          <t>Kliks</t>
        </is>
      </c>
      <c r="C18" s="19" t="inlineStr">
        <is>
          <t>x</t>
        </is>
      </c>
      <c r="D18" s="20">
        <f>IF(AND($C18="x",$A18&lt;&gt;""),$A18,"")</f>
        <v/>
      </c>
    </row>
    <row r="19">
      <c r="A19" s="9" t="inlineStr">
        <is>
          <t>actions_purchase</t>
        </is>
      </c>
      <c r="B19" s="18" t="inlineStr">
        <is>
          <t>Aankopen (vaak leeg per regio)</t>
        </is>
      </c>
      <c r="C19" s="19" t="inlineStr">
        <is>
          <t>x</t>
        </is>
      </c>
      <c r="D19" s="20">
        <f>IF(AND($C19="x",$A19&lt;&gt;""),$A19,"")</f>
        <v/>
      </c>
    </row>
    <row r="20">
      <c r="A20" s="9" t="inlineStr">
        <is>
          <t>actions_lead</t>
        </is>
      </c>
      <c r="B20" s="18" t="inlineStr">
        <is>
          <t>Leads</t>
        </is>
      </c>
      <c r="C20" s="19" t="inlineStr">
        <is>
          <t>x</t>
        </is>
      </c>
      <c r="D20" s="20">
        <f>IF(AND($C20="x",$A20&lt;&gt;""),$A20,"")</f>
        <v/>
      </c>
    </row>
    <row r="21">
      <c r="A21" s="14" t="inlineStr">
        <is>
          <t>Eigen veld toevoegen: zet hieronder het Windsor-veld-id in kolom A en een x in kolom C (tot rij 80).</t>
        </is>
      </c>
    </row>
    <row r="22">
      <c r="A22" s="21" t="n"/>
      <c r="C22" s="21" t="n"/>
      <c r="D22" s="20">
        <f>IF(AND($C22="x",$A22&lt;&gt;""),$A22,"")</f>
        <v/>
      </c>
    </row>
    <row r="23">
      <c r="A23" s="21" t="n"/>
      <c r="C23" s="21" t="n"/>
      <c r="D23" s="20">
        <f>IF(AND($C23="x",$A23&lt;&gt;""),$A23,"")</f>
        <v/>
      </c>
    </row>
    <row r="24">
      <c r="A24" s="21" t="n"/>
      <c r="C24" s="21" t="n"/>
      <c r="D24" s="20">
        <f>IF(AND($C24="x",$A24&lt;&gt;""),$A24,"")</f>
        <v/>
      </c>
    </row>
    <row r="25">
      <c r="A25" s="21" t="n"/>
      <c r="C25" s="21" t="n"/>
      <c r="D25" s="20">
        <f>IF(AND($C25="x",$A25&lt;&gt;""),$A25,"")</f>
        <v/>
      </c>
    </row>
    <row r="26">
      <c r="A26" s="21" t="n"/>
      <c r="C26" s="21" t="n"/>
      <c r="D26" s="20">
        <f>IF(AND($C26="x",$A26&lt;&gt;""),$A26,"")</f>
        <v/>
      </c>
    </row>
    <row r="27">
      <c r="A27" s="21" t="n"/>
      <c r="C27" s="21" t="n"/>
      <c r="D27" s="20">
        <f>IF(AND($C27="x",$A27&lt;&gt;""),$A27,"")</f>
        <v/>
      </c>
    </row>
    <row r="28">
      <c r="A28" s="21" t="n"/>
      <c r="C28" s="21" t="n"/>
      <c r="D28" s="20">
        <f>IF(AND($C28="x",$A28&lt;&gt;""),$A28,"")</f>
        <v/>
      </c>
    </row>
    <row r="29">
      <c r="A29" s="21" t="n"/>
      <c r="C29" s="21" t="n"/>
      <c r="D29" s="20">
        <f>IF(AND($C29="x",$A29&lt;&gt;""),$A29,"")</f>
        <v/>
      </c>
    </row>
    <row r="30">
      <c r="A30" s="21" t="n"/>
      <c r="C30" s="21" t="n"/>
      <c r="D30" s="20">
        <f>IF(AND($C30="x",$A30&lt;&gt;""),$A30,"")</f>
        <v/>
      </c>
    </row>
    <row r="31">
      <c r="A31" s="21" t="n"/>
      <c r="C31" s="21" t="n"/>
      <c r="D31" s="20">
        <f>IF(AND($C31="x",$A31&lt;&gt;""),$A31,"")</f>
        <v/>
      </c>
    </row>
    <row r="32">
      <c r="A32" s="21" t="n"/>
      <c r="C32" s="21" t="n"/>
      <c r="D32" s="20">
        <f>IF(AND($C32="x",$A32&lt;&gt;""),$A32,"")</f>
        <v/>
      </c>
    </row>
    <row r="33">
      <c r="A33" s="21" t="n"/>
      <c r="C33" s="21" t="n"/>
      <c r="D33" s="20">
        <f>IF(AND($C33="x",$A33&lt;&gt;""),$A33,"")</f>
        <v/>
      </c>
    </row>
    <row r="34">
      <c r="A34" s="21" t="n"/>
      <c r="C34" s="21" t="n"/>
      <c r="D34" s="20">
        <f>IF(AND($C34="x",$A34&lt;&gt;""),$A34,"")</f>
        <v/>
      </c>
    </row>
    <row r="35">
      <c r="A35" s="21" t="n"/>
      <c r="C35" s="21" t="n"/>
      <c r="D35" s="20">
        <f>IF(AND($C35="x",$A35&lt;&gt;""),$A35,"")</f>
        <v/>
      </c>
    </row>
    <row r="36">
      <c r="A36" s="21" t="n"/>
      <c r="C36" s="21" t="n"/>
      <c r="D36" s="20">
        <f>IF(AND($C36="x",$A36&lt;&gt;""),$A36,"")</f>
        <v/>
      </c>
    </row>
    <row r="37">
      <c r="A37" s="21" t="n"/>
      <c r="C37" s="21" t="n"/>
      <c r="D37" s="20">
        <f>IF(AND($C37="x",$A37&lt;&gt;""),$A37,"")</f>
        <v/>
      </c>
    </row>
    <row r="38">
      <c r="A38" s="21" t="n"/>
      <c r="C38" s="21" t="n"/>
      <c r="D38" s="20">
        <f>IF(AND($C38="x",$A38&lt;&gt;""),$A38,"")</f>
        <v/>
      </c>
    </row>
    <row r="39">
      <c r="A39" s="21" t="n"/>
      <c r="C39" s="21" t="n"/>
      <c r="D39" s="20">
        <f>IF(AND($C39="x",$A39&lt;&gt;""),$A39,"")</f>
        <v/>
      </c>
    </row>
    <row r="40">
      <c r="A40" s="21" t="n"/>
      <c r="C40" s="21" t="n"/>
      <c r="D40" s="20">
        <f>IF(AND($C40="x",$A40&lt;&gt;""),$A40,"")</f>
        <v/>
      </c>
    </row>
    <row r="41">
      <c r="A41" s="21" t="n"/>
      <c r="C41" s="21" t="n"/>
      <c r="D41" s="20">
        <f>IF(AND($C41="x",$A41&lt;&gt;""),$A41,"")</f>
        <v/>
      </c>
    </row>
    <row r="42">
      <c r="A42" s="21" t="n"/>
      <c r="C42" s="21" t="n"/>
      <c r="D42" s="20">
        <f>IF(AND($C42="x",$A42&lt;&gt;""),$A42,"")</f>
        <v/>
      </c>
    </row>
    <row r="43">
      <c r="A43" s="21" t="n"/>
      <c r="C43" s="21" t="n"/>
      <c r="D43" s="20">
        <f>IF(AND($C43="x",$A43&lt;&gt;""),$A43,"")</f>
        <v/>
      </c>
    </row>
    <row r="44">
      <c r="A44" s="21" t="n"/>
      <c r="C44" s="21" t="n"/>
      <c r="D44" s="20">
        <f>IF(AND($C44="x",$A44&lt;&gt;""),$A44,"")</f>
        <v/>
      </c>
    </row>
    <row r="45">
      <c r="A45" s="21" t="n"/>
      <c r="C45" s="21" t="n"/>
      <c r="D45" s="20">
        <f>IF(AND($C45="x",$A45&lt;&gt;""),$A45,"")</f>
        <v/>
      </c>
    </row>
    <row r="46">
      <c r="A46" s="21" t="n"/>
      <c r="C46" s="21" t="n"/>
      <c r="D46" s="20">
        <f>IF(AND($C46="x",$A46&lt;&gt;""),$A46,"")</f>
        <v/>
      </c>
    </row>
    <row r="47">
      <c r="A47" s="21" t="n"/>
      <c r="C47" s="21" t="n"/>
      <c r="D47" s="20">
        <f>IF(AND($C47="x",$A47&lt;&gt;""),$A47,"")</f>
        <v/>
      </c>
    </row>
    <row r="48">
      <c r="A48" s="21" t="n"/>
      <c r="C48" s="21" t="n"/>
      <c r="D48" s="20">
        <f>IF(AND($C48="x",$A48&lt;&gt;""),$A48,"")</f>
        <v/>
      </c>
    </row>
    <row r="49">
      <c r="A49" s="21" t="n"/>
      <c r="C49" s="21" t="n"/>
      <c r="D49" s="20">
        <f>IF(AND($C49="x",$A49&lt;&gt;""),$A49,"")</f>
        <v/>
      </c>
    </row>
    <row r="50">
      <c r="A50" s="21" t="n"/>
      <c r="C50" s="21" t="n"/>
      <c r="D50" s="20">
        <f>IF(AND($C50="x",$A50&lt;&gt;""),$A50,"")</f>
        <v/>
      </c>
    </row>
    <row r="51">
      <c r="A51" s="21" t="n"/>
      <c r="C51" s="21" t="n"/>
      <c r="D51" s="20">
        <f>IF(AND($C51="x",$A51&lt;&gt;""),$A51,"")</f>
        <v/>
      </c>
    </row>
    <row r="52">
      <c r="A52" s="21" t="n"/>
      <c r="C52" s="21" t="n"/>
      <c r="D52" s="20">
        <f>IF(AND($C52="x",$A52&lt;&gt;""),$A52,"")</f>
        <v/>
      </c>
    </row>
    <row r="53">
      <c r="A53" s="21" t="n"/>
      <c r="C53" s="21" t="n"/>
      <c r="D53" s="20">
        <f>IF(AND($C53="x",$A53&lt;&gt;""),$A53,"")</f>
        <v/>
      </c>
    </row>
    <row r="54">
      <c r="A54" s="21" t="n"/>
      <c r="C54" s="21" t="n"/>
      <c r="D54" s="20">
        <f>IF(AND($C54="x",$A54&lt;&gt;""),$A54,"")</f>
        <v/>
      </c>
    </row>
    <row r="55">
      <c r="A55" s="21" t="n"/>
      <c r="C55" s="21" t="n"/>
      <c r="D55" s="20">
        <f>IF(AND($C55="x",$A55&lt;&gt;""),$A55,"")</f>
        <v/>
      </c>
    </row>
    <row r="56">
      <c r="A56" s="21" t="n"/>
      <c r="C56" s="21" t="n"/>
      <c r="D56" s="20">
        <f>IF(AND($C56="x",$A56&lt;&gt;""),$A56,"")</f>
        <v/>
      </c>
    </row>
    <row r="57">
      <c r="A57" s="21" t="n"/>
      <c r="C57" s="21" t="n"/>
      <c r="D57" s="20">
        <f>IF(AND($C57="x",$A57&lt;&gt;""),$A57,"")</f>
        <v/>
      </c>
    </row>
    <row r="58">
      <c r="A58" s="21" t="n"/>
      <c r="C58" s="21" t="n"/>
      <c r="D58" s="20">
        <f>IF(AND($C58="x",$A58&lt;&gt;""),$A58,"")</f>
        <v/>
      </c>
    </row>
    <row r="59">
      <c r="A59" s="21" t="n"/>
      <c r="C59" s="21" t="n"/>
      <c r="D59" s="20">
        <f>IF(AND($C59="x",$A59&lt;&gt;""),$A59,"")</f>
        <v/>
      </c>
    </row>
    <row r="60">
      <c r="A60" s="21" t="n"/>
      <c r="C60" s="21" t="n"/>
      <c r="D60" s="20">
        <f>IF(AND($C60="x",$A60&lt;&gt;""),$A60,"")</f>
        <v/>
      </c>
    </row>
    <row r="61">
      <c r="A61" s="21" t="n"/>
      <c r="C61" s="21" t="n"/>
      <c r="D61" s="20">
        <f>IF(AND($C61="x",$A61&lt;&gt;""),$A61,"")</f>
        <v/>
      </c>
    </row>
    <row r="62">
      <c r="A62" s="21" t="n"/>
      <c r="C62" s="21" t="n"/>
      <c r="D62" s="20">
        <f>IF(AND($C62="x",$A62&lt;&gt;""),$A62,"")</f>
        <v/>
      </c>
    </row>
    <row r="63">
      <c r="A63" s="21" t="n"/>
      <c r="C63" s="21" t="n"/>
      <c r="D63" s="20">
        <f>IF(AND($C63="x",$A63&lt;&gt;""),$A63,"")</f>
        <v/>
      </c>
    </row>
    <row r="64">
      <c r="A64" s="21" t="n"/>
      <c r="C64" s="21" t="n"/>
      <c r="D64" s="20">
        <f>IF(AND($C64="x",$A64&lt;&gt;""),$A64,"")</f>
        <v/>
      </c>
    </row>
    <row r="65">
      <c r="A65" s="21" t="n"/>
      <c r="C65" s="21" t="n"/>
      <c r="D65" s="20">
        <f>IF(AND($C65="x",$A65&lt;&gt;""),$A65,"")</f>
        <v/>
      </c>
    </row>
    <row r="66">
      <c r="A66" s="21" t="n"/>
      <c r="C66" s="21" t="n"/>
      <c r="D66" s="20">
        <f>IF(AND($C66="x",$A66&lt;&gt;""),$A66,"")</f>
        <v/>
      </c>
    </row>
    <row r="67">
      <c r="A67" s="21" t="n"/>
      <c r="C67" s="21" t="n"/>
      <c r="D67" s="20">
        <f>IF(AND($C67="x",$A67&lt;&gt;""),$A67,"")</f>
        <v/>
      </c>
    </row>
    <row r="68">
      <c r="A68" s="21" t="n"/>
      <c r="C68" s="21" t="n"/>
      <c r="D68" s="20">
        <f>IF(AND($C68="x",$A68&lt;&gt;""),$A68,"")</f>
        <v/>
      </c>
    </row>
    <row r="69">
      <c r="A69" s="21" t="n"/>
      <c r="C69" s="21" t="n"/>
      <c r="D69" s="20">
        <f>IF(AND($C69="x",$A69&lt;&gt;""),$A69,"")</f>
        <v/>
      </c>
    </row>
    <row r="70">
      <c r="A70" s="21" t="n"/>
      <c r="C70" s="21" t="n"/>
      <c r="D70" s="20">
        <f>IF(AND($C70="x",$A70&lt;&gt;""),$A70,"")</f>
        <v/>
      </c>
    </row>
    <row r="71">
      <c r="A71" s="21" t="n"/>
      <c r="C71" s="21" t="n"/>
      <c r="D71" s="20">
        <f>IF(AND($C71="x",$A71&lt;&gt;""),$A71,"")</f>
        <v/>
      </c>
    </row>
    <row r="72">
      <c r="A72" s="21" t="n"/>
      <c r="C72" s="21" t="n"/>
      <c r="D72" s="20">
        <f>IF(AND($C72="x",$A72&lt;&gt;""),$A72,"")</f>
        <v/>
      </c>
    </row>
    <row r="73">
      <c r="A73" s="21" t="n"/>
      <c r="C73" s="21" t="n"/>
      <c r="D73" s="20">
        <f>IF(AND($C73="x",$A73&lt;&gt;""),$A73,"")</f>
        <v/>
      </c>
    </row>
    <row r="74">
      <c r="A74" s="21" t="n"/>
      <c r="C74" s="21" t="n"/>
      <c r="D74" s="20">
        <f>IF(AND($C74="x",$A74&lt;&gt;""),$A74,"")</f>
        <v/>
      </c>
    </row>
    <row r="75">
      <c r="A75" s="21" t="n"/>
      <c r="C75" s="21" t="n"/>
      <c r="D75" s="20">
        <f>IF(AND($C75="x",$A75&lt;&gt;""),$A75,"")</f>
        <v/>
      </c>
    </row>
    <row r="76">
      <c r="A76" s="21" t="n"/>
      <c r="C76" s="21" t="n"/>
      <c r="D76" s="20">
        <f>IF(AND($C76="x",$A76&lt;&gt;""),$A76,"")</f>
        <v/>
      </c>
    </row>
    <row r="77">
      <c r="A77" s="21" t="n"/>
      <c r="C77" s="21" t="n"/>
      <c r="D77" s="20">
        <f>IF(AND($C77="x",$A77&lt;&gt;""),$A77,"")</f>
        <v/>
      </c>
    </row>
    <row r="78">
      <c r="A78" s="21" t="n"/>
      <c r="C78" s="21" t="n"/>
      <c r="D78" s="20">
        <f>IF(AND($C78="x",$A78&lt;&gt;""),$A78,"")</f>
        <v/>
      </c>
    </row>
    <row r="79">
      <c r="A79" s="21" t="n"/>
      <c r="C79" s="21" t="n"/>
      <c r="D79" s="20">
        <f>IF(AND($C79="x",$A79&lt;&gt;""),$A79,"")</f>
        <v/>
      </c>
    </row>
    <row r="80">
      <c r="A80" s="21" t="n"/>
      <c r="C80" s="21" t="n"/>
      <c r="D80" s="20">
        <f>IF(AND($C80="x",$A80&lt;&gt;""),$A80,"")</f>
        <v/>
      </c>
    </row>
  </sheetData>
  <mergeCells count="2">
    <mergeCell ref="B8:D8"/>
    <mergeCell ref="A21:C21"/>
  </mergeCells>
  <dataValidations count="1">
    <dataValidation sqref="C12 C13 C14 C15 C16 C17 C18 C19 C20 C21 C22 C23 C24 C25 C26 C27 C28 C29 C30 C31 C32 C33 C34 C35 C36 C37 C38 C39 C40 C41 C42 C43 C44 C45 C46 C47 C48 C49 C50 C51 C52 C53 C54 C55 C56 C57 C58 C59 C60 C61 C62 C63 C64 C65 C66 C67 C68 C69 C70 C71 C72 C73 C74 C75 C76 C77 C78 C79 C80" showDropDown="0" showInputMessage="0" showErrorMessage="1" allowBlank="1" errorTitle="Alleen x" error="Zet een x om het veld op te nemen, of laat de cel leeg." type="list">
      <formula1>"x"</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80"/>
  <sheetViews>
    <sheetView workbookViewId="0">
      <pane ySplit="11" topLeftCell="A12" activePane="bottomLeft" state="frozen"/>
      <selection pane="bottomLeft" activeCell="A1" sqref="A1"/>
    </sheetView>
  </sheetViews>
  <sheetFormatPr baseColWidth="8" defaultRowHeight="15"/>
  <cols>
    <col width="44" customWidth="1" min="1" max="1"/>
    <col width="62" customWidth="1" min="2" max="2"/>
    <col width="13" customWidth="1" min="3" max="3"/>
    <col hidden="1" width="10" customWidth="1" min="4" max="4"/>
  </cols>
  <sheetData>
    <row r="1">
      <c r="A1" s="13" t="inlineStr">
        <is>
          <t>Windsor-export: Meta Ads asset titel</t>
        </is>
      </c>
      <c r="C1" s="14" t="inlineStr">
        <is>
          <t>Status: Optioneel (anders live) · Ads → Meta creatieve varianten</t>
        </is>
      </c>
    </row>
    <row r="2">
      <c r="A2" s="3" t="inlineStr">
        <is>
          <t>Connector</t>
        </is>
      </c>
      <c r="B2" s="6" t="inlineStr">
        <is>
          <t>facebook</t>
        </is>
      </c>
    </row>
    <row r="3">
      <c r="A3" s="3" t="inlineStr">
        <is>
          <t>Account-id (uit Instellingen)</t>
        </is>
      </c>
      <c r="B3" s="15">
        <f>Instellingen!$B$11</f>
        <v/>
      </c>
    </row>
    <row r="4">
      <c r="A4" s="3" t="inlineStr">
        <is>
          <t>Taaknaam (Task name)</t>
        </is>
      </c>
      <c r="B4" s="15">
        <f>"Windsor - Sheets - Meta Ads asset titel - "&amp;Instellingen!$B$3</f>
        <v/>
      </c>
    </row>
    <row r="5">
      <c r="A5" s="3" t="inlineStr">
        <is>
          <t>Tabnaam (Sheet Name)</t>
        </is>
      </c>
      <c r="B5" s="15">
        <f>"Meta Ads - asset titel - "&amp;Instellingen!$B$3&amp;" - windsor.ai"</f>
        <v/>
      </c>
      <c r="C5" s="12" t="inlineStr">
        <is>
          <t>Herkenning in api/_sheetdata.js gaat op bron + niveau in deze naam; hou het voorstel aan.</t>
        </is>
      </c>
    </row>
    <row r="6">
      <c r="A6" s="3" t="inlineStr">
        <is>
          <t>Columns to Match (rows to replace)</t>
        </is>
      </c>
      <c r="B6" s="6" t="inlineStr">
        <is>
          <t>date</t>
        </is>
      </c>
      <c r="C6" s="12" t="inlineStr">
        <is>
          <t>Voorstel; zoals bij de bestaande exports.</t>
        </is>
      </c>
    </row>
    <row r="7">
      <c r="A7" s="3" t="inlineStr">
        <is>
          <t>Schedule</t>
        </is>
      </c>
      <c r="B7" s="6" t="inlineStr">
        <is>
          <t>Daily · 00:00 UTC · Target Cell A1 · Authentication: Google Account</t>
        </is>
      </c>
    </row>
    <row r="8" ht="90" customHeight="1">
      <c r="A8" s="3" t="inlineStr">
        <is>
          <t>Query (gegenereerd — api_key blijft leeg)</t>
        </is>
      </c>
      <c r="B8" s="16">
        <f>"https://connectors.windsor.ai/"&amp;$B$2&amp;"?api_key="&amp;IF(Instellingen!$B$4&lt;&gt;"","&amp;date_preset="&amp;Instellingen!$B$4,"")&amp;"&amp;fields="&amp;_xlfn.TEXTJOIN(",",TRUE,$D$12:$D$80)&amp;IF($B$3&lt;&gt;"","&amp;select_accounts="&amp;$B$3,"")&amp;IF(Instellingen!$B$5&lt;&gt;"","&amp;_field_headers="&amp;Instellingen!$B$5,"")</f>
        <v/>
      </c>
    </row>
    <row r="9">
      <c r="A9" s="3" t="inlineStr">
        <is>
          <t>Aantal velden in de query</t>
        </is>
      </c>
      <c r="B9" s="17">
        <f>COUNTIF($C$12:$C$80,"x")</f>
        <v/>
      </c>
    </row>
    <row r="11">
      <c r="A11" s="8" t="inlineStr">
        <is>
          <t>Veld (Windsor-id)</t>
        </is>
      </c>
      <c r="B11" s="8" t="inlineStr">
        <is>
          <t>Gebruik in het dashboard</t>
        </is>
      </c>
      <c r="C11" s="8" t="inlineStr">
        <is>
          <t>Opnemen (x)</t>
        </is>
      </c>
      <c r="D11" s="8" t="inlineStr">
        <is>
          <t>→ query</t>
        </is>
      </c>
    </row>
    <row r="12">
      <c r="A12" s="9" t="inlineStr">
        <is>
          <t>date</t>
        </is>
      </c>
      <c r="B12" s="18" t="inlineStr">
        <is>
          <t>Datumkolom: 'Columns to Match' en periodefilter</t>
        </is>
      </c>
      <c r="C12" s="19" t="inlineStr">
        <is>
          <t>x</t>
        </is>
      </c>
      <c r="D12" s="20">
        <f>IF(AND($C12="x",$A12&lt;&gt;""),$A12,"")</f>
        <v/>
      </c>
    </row>
    <row r="13">
      <c r="A13" s="9" t="inlineStr">
        <is>
          <t>account_id</t>
        </is>
      </c>
      <c r="B13" s="18" t="inlineStr">
        <is>
          <t>Accountcontrole: alleen rijen van dit account tellen mee</t>
        </is>
      </c>
      <c r="C13" s="19" t="inlineStr">
        <is>
          <t>x</t>
        </is>
      </c>
      <c r="D13" s="20">
        <f>IF(AND($C13="x",$A13&lt;&gt;""),$A13,"")</f>
        <v/>
      </c>
    </row>
    <row r="14">
      <c r="A14" s="9" t="inlineStr">
        <is>
          <t>account_name</t>
        </is>
      </c>
      <c r="B14" s="18" t="inlineStr">
        <is>
          <t>Idem, leesbaar</t>
        </is>
      </c>
      <c r="C14" s="19" t="inlineStr">
        <is>
          <t>x</t>
        </is>
      </c>
      <c r="D14" s="20">
        <f>IF(AND($C14="x",$A14&lt;&gt;""),$A14,"")</f>
        <v/>
      </c>
    </row>
    <row r="15">
      <c r="A15" s="9" t="inlineStr">
        <is>
          <t>ad_id</t>
        </is>
      </c>
      <c r="B15" s="18" t="inlineStr">
        <is>
          <t>Advertentie</t>
        </is>
      </c>
      <c r="C15" s="19" t="inlineStr">
        <is>
          <t>x</t>
        </is>
      </c>
      <c r="D15" s="20">
        <f>IF(AND($C15="x",$A15&lt;&gt;""),$A15,"")</f>
        <v/>
      </c>
    </row>
    <row r="16">
      <c r="A16" s="9" t="inlineStr">
        <is>
          <t>title_asset_text</t>
        </is>
      </c>
      <c r="B16" s="18" t="inlineStr">
        <is>
          <t>Titelvariant — één asset-breakdown per export</t>
        </is>
      </c>
      <c r="C16" s="19" t="inlineStr">
        <is>
          <t>x</t>
        </is>
      </c>
      <c r="D16" s="20">
        <f>IF(AND($C16="x",$A16&lt;&gt;""),$A16,"")</f>
        <v/>
      </c>
    </row>
    <row r="17">
      <c r="A17" s="9" t="inlineStr">
        <is>
          <t>impressions</t>
        </is>
      </c>
      <c r="B17" s="18" t="inlineStr">
        <is>
          <t>Vertoningen</t>
        </is>
      </c>
      <c r="C17" s="19" t="inlineStr">
        <is>
          <t>x</t>
        </is>
      </c>
      <c r="D17" s="20">
        <f>IF(AND($C17="x",$A17&lt;&gt;""),$A17,"")</f>
        <v/>
      </c>
    </row>
    <row r="18">
      <c r="A18" s="9" t="inlineStr">
        <is>
          <t>clicks</t>
        </is>
      </c>
      <c r="B18" s="18" t="inlineStr">
        <is>
          <t>Kliks</t>
        </is>
      </c>
      <c r="C18" s="19" t="inlineStr">
        <is>
          <t>x</t>
        </is>
      </c>
      <c r="D18" s="20">
        <f>IF(AND($C18="x",$A18&lt;&gt;""),$A18,"")</f>
        <v/>
      </c>
    </row>
    <row r="19">
      <c r="A19" s="9" t="inlineStr">
        <is>
          <t>spend</t>
        </is>
      </c>
      <c r="B19" s="18" t="inlineStr">
        <is>
          <t>Kosten</t>
        </is>
      </c>
      <c r="C19" s="19" t="inlineStr">
        <is>
          <t>x</t>
        </is>
      </c>
      <c r="D19" s="20">
        <f>IF(AND($C19="x",$A19&lt;&gt;""),$A19,"")</f>
        <v/>
      </c>
    </row>
    <row r="20">
      <c r="A20" s="9" t="inlineStr">
        <is>
          <t>actions_purchase</t>
        </is>
      </c>
      <c r="B20" s="18" t="inlineStr">
        <is>
          <t>Aankopen (Meta kan dit weigeren naast de breakdown; dan weglaten)</t>
        </is>
      </c>
      <c r="C20" s="19" t="inlineStr">
        <is>
          <t>x</t>
        </is>
      </c>
      <c r="D20" s="20">
        <f>IF(AND($C20="x",$A20&lt;&gt;""),$A20,"")</f>
        <v/>
      </c>
    </row>
    <row r="21">
      <c r="A21" s="9" t="inlineStr">
        <is>
          <t>actions_lead</t>
        </is>
      </c>
      <c r="B21" s="18" t="inlineStr">
        <is>
          <t>Leads (idem)</t>
        </is>
      </c>
      <c r="C21" s="19" t="inlineStr">
        <is>
          <t>x</t>
        </is>
      </c>
      <c r="D21" s="20">
        <f>IF(AND($C21="x",$A21&lt;&gt;""),$A21,"")</f>
        <v/>
      </c>
    </row>
    <row r="22">
      <c r="A22" s="14" t="inlineStr">
        <is>
          <t>Eigen veld toevoegen: zet hieronder het Windsor-veld-id in kolom A en een x in kolom C (tot rij 80).</t>
        </is>
      </c>
    </row>
    <row r="23">
      <c r="A23" s="21" t="n"/>
      <c r="C23" s="21" t="n"/>
      <c r="D23" s="20">
        <f>IF(AND($C23="x",$A23&lt;&gt;""),$A23,"")</f>
        <v/>
      </c>
    </row>
    <row r="24">
      <c r="A24" s="21" t="n"/>
      <c r="C24" s="21" t="n"/>
      <c r="D24" s="20">
        <f>IF(AND($C24="x",$A24&lt;&gt;""),$A24,"")</f>
        <v/>
      </c>
    </row>
    <row r="25">
      <c r="A25" s="21" t="n"/>
      <c r="C25" s="21" t="n"/>
      <c r="D25" s="20">
        <f>IF(AND($C25="x",$A25&lt;&gt;""),$A25,"")</f>
        <v/>
      </c>
    </row>
    <row r="26">
      <c r="A26" s="21" t="n"/>
      <c r="C26" s="21" t="n"/>
      <c r="D26" s="20">
        <f>IF(AND($C26="x",$A26&lt;&gt;""),$A26,"")</f>
        <v/>
      </c>
    </row>
    <row r="27">
      <c r="A27" s="21" t="n"/>
      <c r="C27" s="21" t="n"/>
      <c r="D27" s="20">
        <f>IF(AND($C27="x",$A27&lt;&gt;""),$A27,"")</f>
        <v/>
      </c>
    </row>
    <row r="28">
      <c r="A28" s="21" t="n"/>
      <c r="C28" s="21" t="n"/>
      <c r="D28" s="20">
        <f>IF(AND($C28="x",$A28&lt;&gt;""),$A28,"")</f>
        <v/>
      </c>
    </row>
    <row r="29">
      <c r="A29" s="21" t="n"/>
      <c r="C29" s="21" t="n"/>
      <c r="D29" s="20">
        <f>IF(AND($C29="x",$A29&lt;&gt;""),$A29,"")</f>
        <v/>
      </c>
    </row>
    <row r="30">
      <c r="A30" s="21" t="n"/>
      <c r="C30" s="21" t="n"/>
      <c r="D30" s="20">
        <f>IF(AND($C30="x",$A30&lt;&gt;""),$A30,"")</f>
        <v/>
      </c>
    </row>
    <row r="31">
      <c r="A31" s="21" t="n"/>
      <c r="C31" s="21" t="n"/>
      <c r="D31" s="20">
        <f>IF(AND($C31="x",$A31&lt;&gt;""),$A31,"")</f>
        <v/>
      </c>
    </row>
    <row r="32">
      <c r="A32" s="21" t="n"/>
      <c r="C32" s="21" t="n"/>
      <c r="D32" s="20">
        <f>IF(AND($C32="x",$A32&lt;&gt;""),$A32,"")</f>
        <v/>
      </c>
    </row>
    <row r="33">
      <c r="A33" s="21" t="n"/>
      <c r="C33" s="21" t="n"/>
      <c r="D33" s="20">
        <f>IF(AND($C33="x",$A33&lt;&gt;""),$A33,"")</f>
        <v/>
      </c>
    </row>
    <row r="34">
      <c r="A34" s="21" t="n"/>
      <c r="C34" s="21" t="n"/>
      <c r="D34" s="20">
        <f>IF(AND($C34="x",$A34&lt;&gt;""),$A34,"")</f>
        <v/>
      </c>
    </row>
    <row r="35">
      <c r="A35" s="21" t="n"/>
      <c r="C35" s="21" t="n"/>
      <c r="D35" s="20">
        <f>IF(AND($C35="x",$A35&lt;&gt;""),$A35,"")</f>
        <v/>
      </c>
    </row>
    <row r="36">
      <c r="A36" s="21" t="n"/>
      <c r="C36" s="21" t="n"/>
      <c r="D36" s="20">
        <f>IF(AND($C36="x",$A36&lt;&gt;""),$A36,"")</f>
        <v/>
      </c>
    </row>
    <row r="37">
      <c r="A37" s="21" t="n"/>
      <c r="C37" s="21" t="n"/>
      <c r="D37" s="20">
        <f>IF(AND($C37="x",$A37&lt;&gt;""),$A37,"")</f>
        <v/>
      </c>
    </row>
    <row r="38">
      <c r="A38" s="21" t="n"/>
      <c r="C38" s="21" t="n"/>
      <c r="D38" s="20">
        <f>IF(AND($C38="x",$A38&lt;&gt;""),$A38,"")</f>
        <v/>
      </c>
    </row>
    <row r="39">
      <c r="A39" s="21" t="n"/>
      <c r="C39" s="21" t="n"/>
      <c r="D39" s="20">
        <f>IF(AND($C39="x",$A39&lt;&gt;""),$A39,"")</f>
        <v/>
      </c>
    </row>
    <row r="40">
      <c r="A40" s="21" t="n"/>
      <c r="C40" s="21" t="n"/>
      <c r="D40" s="20">
        <f>IF(AND($C40="x",$A40&lt;&gt;""),$A40,"")</f>
        <v/>
      </c>
    </row>
    <row r="41">
      <c r="A41" s="21" t="n"/>
      <c r="C41" s="21" t="n"/>
      <c r="D41" s="20">
        <f>IF(AND($C41="x",$A41&lt;&gt;""),$A41,"")</f>
        <v/>
      </c>
    </row>
    <row r="42">
      <c r="A42" s="21" t="n"/>
      <c r="C42" s="21" t="n"/>
      <c r="D42" s="20">
        <f>IF(AND($C42="x",$A42&lt;&gt;""),$A42,"")</f>
        <v/>
      </c>
    </row>
    <row r="43">
      <c r="A43" s="21" t="n"/>
      <c r="C43" s="21" t="n"/>
      <c r="D43" s="20">
        <f>IF(AND($C43="x",$A43&lt;&gt;""),$A43,"")</f>
        <v/>
      </c>
    </row>
    <row r="44">
      <c r="A44" s="21" t="n"/>
      <c r="C44" s="21" t="n"/>
      <c r="D44" s="20">
        <f>IF(AND($C44="x",$A44&lt;&gt;""),$A44,"")</f>
        <v/>
      </c>
    </row>
    <row r="45">
      <c r="A45" s="21" t="n"/>
      <c r="C45" s="21" t="n"/>
      <c r="D45" s="20">
        <f>IF(AND($C45="x",$A45&lt;&gt;""),$A45,"")</f>
        <v/>
      </c>
    </row>
    <row r="46">
      <c r="A46" s="21" t="n"/>
      <c r="C46" s="21" t="n"/>
      <c r="D46" s="20">
        <f>IF(AND($C46="x",$A46&lt;&gt;""),$A46,"")</f>
        <v/>
      </c>
    </row>
    <row r="47">
      <c r="A47" s="21" t="n"/>
      <c r="C47" s="21" t="n"/>
      <c r="D47" s="20">
        <f>IF(AND($C47="x",$A47&lt;&gt;""),$A47,"")</f>
        <v/>
      </c>
    </row>
    <row r="48">
      <c r="A48" s="21" t="n"/>
      <c r="C48" s="21" t="n"/>
      <c r="D48" s="20">
        <f>IF(AND($C48="x",$A48&lt;&gt;""),$A48,"")</f>
        <v/>
      </c>
    </row>
    <row r="49">
      <c r="A49" s="21" t="n"/>
      <c r="C49" s="21" t="n"/>
      <c r="D49" s="20">
        <f>IF(AND($C49="x",$A49&lt;&gt;""),$A49,"")</f>
        <v/>
      </c>
    </row>
    <row r="50">
      <c r="A50" s="21" t="n"/>
      <c r="C50" s="21" t="n"/>
      <c r="D50" s="20">
        <f>IF(AND($C50="x",$A50&lt;&gt;""),$A50,"")</f>
        <v/>
      </c>
    </row>
    <row r="51">
      <c r="A51" s="21" t="n"/>
      <c r="C51" s="21" t="n"/>
      <c r="D51" s="20">
        <f>IF(AND($C51="x",$A51&lt;&gt;""),$A51,"")</f>
        <v/>
      </c>
    </row>
    <row r="52">
      <c r="A52" s="21" t="n"/>
      <c r="C52" s="21" t="n"/>
      <c r="D52" s="20">
        <f>IF(AND($C52="x",$A52&lt;&gt;""),$A52,"")</f>
        <v/>
      </c>
    </row>
    <row r="53">
      <c r="A53" s="21" t="n"/>
      <c r="C53" s="21" t="n"/>
      <c r="D53" s="20">
        <f>IF(AND($C53="x",$A53&lt;&gt;""),$A53,"")</f>
        <v/>
      </c>
    </row>
    <row r="54">
      <c r="A54" s="21" t="n"/>
      <c r="C54" s="21" t="n"/>
      <c r="D54" s="20">
        <f>IF(AND($C54="x",$A54&lt;&gt;""),$A54,"")</f>
        <v/>
      </c>
    </row>
    <row r="55">
      <c r="A55" s="21" t="n"/>
      <c r="C55" s="21" t="n"/>
      <c r="D55" s="20">
        <f>IF(AND($C55="x",$A55&lt;&gt;""),$A55,"")</f>
        <v/>
      </c>
    </row>
    <row r="56">
      <c r="A56" s="21" t="n"/>
      <c r="C56" s="21" t="n"/>
      <c r="D56" s="20">
        <f>IF(AND($C56="x",$A56&lt;&gt;""),$A56,"")</f>
        <v/>
      </c>
    </row>
    <row r="57">
      <c r="A57" s="21" t="n"/>
      <c r="C57" s="21" t="n"/>
      <c r="D57" s="20">
        <f>IF(AND($C57="x",$A57&lt;&gt;""),$A57,"")</f>
        <v/>
      </c>
    </row>
    <row r="58">
      <c r="A58" s="21" t="n"/>
      <c r="C58" s="21" t="n"/>
      <c r="D58" s="20">
        <f>IF(AND($C58="x",$A58&lt;&gt;""),$A58,"")</f>
        <v/>
      </c>
    </row>
    <row r="59">
      <c r="A59" s="21" t="n"/>
      <c r="C59" s="21" t="n"/>
      <c r="D59" s="20">
        <f>IF(AND($C59="x",$A59&lt;&gt;""),$A59,"")</f>
        <v/>
      </c>
    </row>
    <row r="60">
      <c r="A60" s="21" t="n"/>
      <c r="C60" s="21" t="n"/>
      <c r="D60" s="20">
        <f>IF(AND($C60="x",$A60&lt;&gt;""),$A60,"")</f>
        <v/>
      </c>
    </row>
    <row r="61">
      <c r="A61" s="21" t="n"/>
      <c r="C61" s="21" t="n"/>
      <c r="D61" s="20">
        <f>IF(AND($C61="x",$A61&lt;&gt;""),$A61,"")</f>
        <v/>
      </c>
    </row>
    <row r="62">
      <c r="A62" s="21" t="n"/>
      <c r="C62" s="21" t="n"/>
      <c r="D62" s="20">
        <f>IF(AND($C62="x",$A62&lt;&gt;""),$A62,"")</f>
        <v/>
      </c>
    </row>
    <row r="63">
      <c r="A63" s="21" t="n"/>
      <c r="C63" s="21" t="n"/>
      <c r="D63" s="20">
        <f>IF(AND($C63="x",$A63&lt;&gt;""),$A63,"")</f>
        <v/>
      </c>
    </row>
    <row r="64">
      <c r="A64" s="21" t="n"/>
      <c r="C64" s="21" t="n"/>
      <c r="D64" s="20">
        <f>IF(AND($C64="x",$A64&lt;&gt;""),$A64,"")</f>
        <v/>
      </c>
    </row>
    <row r="65">
      <c r="A65" s="21" t="n"/>
      <c r="C65" s="21" t="n"/>
      <c r="D65" s="20">
        <f>IF(AND($C65="x",$A65&lt;&gt;""),$A65,"")</f>
        <v/>
      </c>
    </row>
    <row r="66">
      <c r="A66" s="21" t="n"/>
      <c r="C66" s="21" t="n"/>
      <c r="D66" s="20">
        <f>IF(AND($C66="x",$A66&lt;&gt;""),$A66,"")</f>
        <v/>
      </c>
    </row>
    <row r="67">
      <c r="A67" s="21" t="n"/>
      <c r="C67" s="21" t="n"/>
      <c r="D67" s="20">
        <f>IF(AND($C67="x",$A67&lt;&gt;""),$A67,"")</f>
        <v/>
      </c>
    </row>
    <row r="68">
      <c r="A68" s="21" t="n"/>
      <c r="C68" s="21" t="n"/>
      <c r="D68" s="20">
        <f>IF(AND($C68="x",$A68&lt;&gt;""),$A68,"")</f>
        <v/>
      </c>
    </row>
    <row r="69">
      <c r="A69" s="21" t="n"/>
      <c r="C69" s="21" t="n"/>
      <c r="D69" s="20">
        <f>IF(AND($C69="x",$A69&lt;&gt;""),$A69,"")</f>
        <v/>
      </c>
    </row>
    <row r="70">
      <c r="A70" s="21" t="n"/>
      <c r="C70" s="21" t="n"/>
      <c r="D70" s="20">
        <f>IF(AND($C70="x",$A70&lt;&gt;""),$A70,"")</f>
        <v/>
      </c>
    </row>
    <row r="71">
      <c r="A71" s="21" t="n"/>
      <c r="C71" s="21" t="n"/>
      <c r="D71" s="20">
        <f>IF(AND($C71="x",$A71&lt;&gt;""),$A71,"")</f>
        <v/>
      </c>
    </row>
    <row r="72">
      <c r="A72" s="21" t="n"/>
      <c r="C72" s="21" t="n"/>
      <c r="D72" s="20">
        <f>IF(AND($C72="x",$A72&lt;&gt;""),$A72,"")</f>
        <v/>
      </c>
    </row>
    <row r="73">
      <c r="A73" s="21" t="n"/>
      <c r="C73" s="21" t="n"/>
      <c r="D73" s="20">
        <f>IF(AND($C73="x",$A73&lt;&gt;""),$A73,"")</f>
        <v/>
      </c>
    </row>
    <row r="74">
      <c r="A74" s="21" t="n"/>
      <c r="C74" s="21" t="n"/>
      <c r="D74" s="20">
        <f>IF(AND($C74="x",$A74&lt;&gt;""),$A74,"")</f>
        <v/>
      </c>
    </row>
    <row r="75">
      <c r="A75" s="21" t="n"/>
      <c r="C75" s="21" t="n"/>
      <c r="D75" s="20">
        <f>IF(AND($C75="x",$A75&lt;&gt;""),$A75,"")</f>
        <v/>
      </c>
    </row>
    <row r="76">
      <c r="A76" s="21" t="n"/>
      <c r="C76" s="21" t="n"/>
      <c r="D76" s="20">
        <f>IF(AND($C76="x",$A76&lt;&gt;""),$A76,"")</f>
        <v/>
      </c>
    </row>
    <row r="77">
      <c r="A77" s="21" t="n"/>
      <c r="C77" s="21" t="n"/>
      <c r="D77" s="20">
        <f>IF(AND($C77="x",$A77&lt;&gt;""),$A77,"")</f>
        <v/>
      </c>
    </row>
    <row r="78">
      <c r="A78" s="21" t="n"/>
      <c r="C78" s="21" t="n"/>
      <c r="D78" s="20">
        <f>IF(AND($C78="x",$A78&lt;&gt;""),$A78,"")</f>
        <v/>
      </c>
    </row>
    <row r="79">
      <c r="A79" s="21" t="n"/>
      <c r="C79" s="21" t="n"/>
      <c r="D79" s="20">
        <f>IF(AND($C79="x",$A79&lt;&gt;""),$A79,"")</f>
        <v/>
      </c>
    </row>
    <row r="80">
      <c r="A80" s="21" t="n"/>
      <c r="C80" s="21" t="n"/>
      <c r="D80" s="20">
        <f>IF(AND($C80="x",$A80&lt;&gt;""),$A80,"")</f>
        <v/>
      </c>
    </row>
  </sheetData>
  <mergeCells count="2">
    <mergeCell ref="B8:D8"/>
    <mergeCell ref="A22:C22"/>
  </mergeCells>
  <dataValidations count="1">
    <dataValidation sqref="C12 C13 C14 C15 C16 C17 C18 C19 C20 C21 C22 C23 C24 C25 C26 C27 C28 C29 C30 C31 C32 C33 C34 C35 C36 C37 C38 C39 C40 C41 C42 C43 C44 C45 C46 C47 C48 C49 C50 C51 C52 C53 C54 C55 C56 C57 C58 C59 C60 C61 C62 C63 C64 C65 C66 C67 C68 C69 C70 C71 C72 C73 C74 C75 C76 C77 C78 C79 C80" showDropDown="0" showInputMessage="0" showErrorMessage="1" allowBlank="1" errorTitle="Alleen x" error="Zet een x om het veld op te nemen, of laat de cel leeg." type="list">
      <formula1>"x"</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11" topLeftCell="A12" activePane="bottomLeft" state="frozen"/>
      <selection pane="bottomLeft" activeCell="A1" sqref="A1"/>
    </sheetView>
  </sheetViews>
  <sheetFormatPr baseColWidth="8" defaultRowHeight="15"/>
  <cols>
    <col width="44" customWidth="1" min="1" max="1"/>
    <col width="62" customWidth="1" min="2" max="2"/>
    <col width="13" customWidth="1" min="3" max="3"/>
    <col hidden="1" width="10" customWidth="1" min="4" max="4"/>
  </cols>
  <sheetData>
    <row r="1">
      <c r="A1" s="13" t="inlineStr">
        <is>
          <t>Windsor-export: Meta Ads asset body</t>
        </is>
      </c>
      <c r="C1" s="14" t="inlineStr">
        <is>
          <t>Status: Optioneel (anders live) · Ads → Meta creatieve varianten</t>
        </is>
      </c>
    </row>
    <row r="2">
      <c r="A2" s="3" t="inlineStr">
        <is>
          <t>Connector</t>
        </is>
      </c>
      <c r="B2" s="6" t="inlineStr">
        <is>
          <t>facebook</t>
        </is>
      </c>
    </row>
    <row r="3">
      <c r="A3" s="3" t="inlineStr">
        <is>
          <t>Account-id (uit Instellingen)</t>
        </is>
      </c>
      <c r="B3" s="15">
        <f>Instellingen!$B$11</f>
        <v/>
      </c>
    </row>
    <row r="4">
      <c r="A4" s="3" t="inlineStr">
        <is>
          <t>Taaknaam (Task name)</t>
        </is>
      </c>
      <c r="B4" s="15">
        <f>"Windsor - Sheets - Meta Ads asset body - "&amp;Instellingen!$B$3</f>
        <v/>
      </c>
    </row>
    <row r="5">
      <c r="A5" s="3" t="inlineStr">
        <is>
          <t>Tabnaam (Sheet Name)</t>
        </is>
      </c>
      <c r="B5" s="15">
        <f>"Meta Ads - asset body - "&amp;Instellingen!$B$3&amp;" - windsor.ai"</f>
        <v/>
      </c>
      <c r="C5" s="12" t="inlineStr">
        <is>
          <t>Herkenning in api/_sheetdata.js gaat op bron + niveau in deze naam; hou het voorstel aan.</t>
        </is>
      </c>
    </row>
    <row r="6">
      <c r="A6" s="3" t="inlineStr">
        <is>
          <t>Columns to Match (rows to replace)</t>
        </is>
      </c>
      <c r="B6" s="6" t="inlineStr">
        <is>
          <t>date</t>
        </is>
      </c>
      <c r="C6" s="12" t="inlineStr">
        <is>
          <t>Voorstel; zoals bij de bestaande exports.</t>
        </is>
      </c>
    </row>
    <row r="7">
      <c r="A7" s="3" t="inlineStr">
        <is>
          <t>Schedule</t>
        </is>
      </c>
      <c r="B7" s="6" t="inlineStr">
        <is>
          <t>Daily · 00:00 UTC · Target Cell A1 · Authentication: Google Account</t>
        </is>
      </c>
    </row>
    <row r="8" ht="90" customHeight="1">
      <c r="A8" s="3" t="inlineStr">
        <is>
          <t>Query (gegenereerd — api_key blijft leeg)</t>
        </is>
      </c>
      <c r="B8" s="16">
        <f>"https://connectors.windsor.ai/"&amp;$B$2&amp;"?api_key="&amp;IF(Instellingen!$B$4&lt;&gt;"","&amp;date_preset="&amp;Instellingen!$B$4,"")&amp;"&amp;fields="&amp;_xlfn.TEXTJOIN(",",TRUE,$D$12:$D$80)&amp;IF($B$3&lt;&gt;"","&amp;select_accounts="&amp;$B$3,"")&amp;IF(Instellingen!$B$5&lt;&gt;"","&amp;_field_headers="&amp;Instellingen!$B$5,"")</f>
        <v/>
      </c>
    </row>
    <row r="9">
      <c r="A9" s="3" t="inlineStr">
        <is>
          <t>Aantal velden in de query</t>
        </is>
      </c>
      <c r="B9" s="17">
        <f>COUNTIF($C$12:$C$80,"x")</f>
        <v/>
      </c>
    </row>
    <row r="11">
      <c r="A11" s="8" t="inlineStr">
        <is>
          <t>Veld (Windsor-id)</t>
        </is>
      </c>
      <c r="B11" s="8" t="inlineStr">
        <is>
          <t>Gebruik in het dashboard</t>
        </is>
      </c>
      <c r="C11" s="8" t="inlineStr">
        <is>
          <t>Opnemen (x)</t>
        </is>
      </c>
      <c r="D11" s="8" t="inlineStr">
        <is>
          <t>→ query</t>
        </is>
      </c>
    </row>
    <row r="12">
      <c r="A12" s="9" t="inlineStr">
        <is>
          <t>date</t>
        </is>
      </c>
      <c r="B12" s="18" t="inlineStr">
        <is>
          <t>Datumkolom: 'Columns to Match' en periodefilter</t>
        </is>
      </c>
      <c r="C12" s="19" t="inlineStr">
        <is>
          <t>x</t>
        </is>
      </c>
      <c r="D12" s="20">
        <f>IF(AND($C12="x",$A12&lt;&gt;""),$A12,"")</f>
        <v/>
      </c>
    </row>
    <row r="13">
      <c r="A13" s="9" t="inlineStr">
        <is>
          <t>account_id</t>
        </is>
      </c>
      <c r="B13" s="18" t="inlineStr">
        <is>
          <t>Accountcontrole: alleen rijen van dit account tellen mee</t>
        </is>
      </c>
      <c r="C13" s="19" t="inlineStr">
        <is>
          <t>x</t>
        </is>
      </c>
      <c r="D13" s="20">
        <f>IF(AND($C13="x",$A13&lt;&gt;""),$A13,"")</f>
        <v/>
      </c>
    </row>
    <row r="14">
      <c r="A14" s="9" t="inlineStr">
        <is>
          <t>account_name</t>
        </is>
      </c>
      <c r="B14" s="18" t="inlineStr">
        <is>
          <t>Idem, leesbaar</t>
        </is>
      </c>
      <c r="C14" s="19" t="inlineStr">
        <is>
          <t>x</t>
        </is>
      </c>
      <c r="D14" s="20">
        <f>IF(AND($C14="x",$A14&lt;&gt;""),$A14,"")</f>
        <v/>
      </c>
    </row>
    <row r="15">
      <c r="A15" s="9" t="inlineStr">
        <is>
          <t>ad_id</t>
        </is>
      </c>
      <c r="B15" s="18" t="inlineStr">
        <is>
          <t>Advertentie</t>
        </is>
      </c>
      <c r="C15" s="19" t="inlineStr">
        <is>
          <t>x</t>
        </is>
      </c>
      <c r="D15" s="20">
        <f>IF(AND($C15="x",$A15&lt;&gt;""),$A15,"")</f>
        <v/>
      </c>
    </row>
    <row r="16">
      <c r="A16" s="9" t="inlineStr">
        <is>
          <t>body_asset_text</t>
        </is>
      </c>
      <c r="B16" s="18" t="inlineStr">
        <is>
          <t>Tekstvariant — één asset-breakdown per export</t>
        </is>
      </c>
      <c r="C16" s="19" t="inlineStr">
        <is>
          <t>x</t>
        </is>
      </c>
      <c r="D16" s="20">
        <f>IF(AND($C16="x",$A16&lt;&gt;""),$A16,"")</f>
        <v/>
      </c>
    </row>
    <row r="17">
      <c r="A17" s="9" t="inlineStr">
        <is>
          <t>impressions</t>
        </is>
      </c>
      <c r="B17" s="18" t="inlineStr">
        <is>
          <t>Vertoningen</t>
        </is>
      </c>
      <c r="C17" s="19" t="inlineStr">
        <is>
          <t>x</t>
        </is>
      </c>
      <c r="D17" s="20">
        <f>IF(AND($C17="x",$A17&lt;&gt;""),$A17,"")</f>
        <v/>
      </c>
    </row>
    <row r="18">
      <c r="A18" s="9" t="inlineStr">
        <is>
          <t>clicks</t>
        </is>
      </c>
      <c r="B18" s="18" t="inlineStr">
        <is>
          <t>Kliks</t>
        </is>
      </c>
      <c r="C18" s="19" t="inlineStr">
        <is>
          <t>x</t>
        </is>
      </c>
      <c r="D18" s="20">
        <f>IF(AND($C18="x",$A18&lt;&gt;""),$A18,"")</f>
        <v/>
      </c>
    </row>
    <row r="19">
      <c r="A19" s="9" t="inlineStr">
        <is>
          <t>spend</t>
        </is>
      </c>
      <c r="B19" s="18" t="inlineStr">
        <is>
          <t>Kosten</t>
        </is>
      </c>
      <c r="C19" s="19" t="inlineStr">
        <is>
          <t>x</t>
        </is>
      </c>
      <c r="D19" s="20">
        <f>IF(AND($C19="x",$A19&lt;&gt;""),$A19,"")</f>
        <v/>
      </c>
    </row>
    <row r="20">
      <c r="A20" s="9" t="inlineStr">
        <is>
          <t>actions_purchase</t>
        </is>
      </c>
      <c r="B20" s="18" t="inlineStr">
        <is>
          <t>Aankopen (Meta kan dit weigeren naast de breakdown; dan weglaten)</t>
        </is>
      </c>
      <c r="C20" s="19" t="inlineStr">
        <is>
          <t>x</t>
        </is>
      </c>
      <c r="D20" s="20">
        <f>IF(AND($C20="x",$A20&lt;&gt;""),$A20,"")</f>
        <v/>
      </c>
    </row>
    <row r="21">
      <c r="A21" s="9" t="inlineStr">
        <is>
          <t>actions_lead</t>
        </is>
      </c>
      <c r="B21" s="18" t="inlineStr">
        <is>
          <t>Leads (idem)</t>
        </is>
      </c>
      <c r="C21" s="19" t="inlineStr">
        <is>
          <t>x</t>
        </is>
      </c>
      <c r="D21" s="20">
        <f>IF(AND($C21="x",$A21&lt;&gt;""),$A21,"")</f>
        <v/>
      </c>
    </row>
    <row r="22">
      <c r="A22" s="14" t="inlineStr">
        <is>
          <t>Eigen veld toevoegen: zet hieronder het Windsor-veld-id in kolom A en een x in kolom C (tot rij 80).</t>
        </is>
      </c>
    </row>
    <row r="23">
      <c r="A23" s="21" t="n"/>
      <c r="C23" s="21" t="n"/>
      <c r="D23" s="20">
        <f>IF(AND($C23="x",$A23&lt;&gt;""),$A23,"")</f>
        <v/>
      </c>
    </row>
    <row r="24">
      <c r="A24" s="21" t="n"/>
      <c r="C24" s="21" t="n"/>
      <c r="D24" s="20">
        <f>IF(AND($C24="x",$A24&lt;&gt;""),$A24,"")</f>
        <v/>
      </c>
    </row>
    <row r="25">
      <c r="A25" s="21" t="n"/>
      <c r="C25" s="21" t="n"/>
      <c r="D25" s="20">
        <f>IF(AND($C25="x",$A25&lt;&gt;""),$A25,"")</f>
        <v/>
      </c>
    </row>
    <row r="26">
      <c r="A26" s="21" t="n"/>
      <c r="C26" s="21" t="n"/>
      <c r="D26" s="20">
        <f>IF(AND($C26="x",$A26&lt;&gt;""),$A26,"")</f>
        <v/>
      </c>
    </row>
    <row r="27">
      <c r="A27" s="21" t="n"/>
      <c r="C27" s="21" t="n"/>
      <c r="D27" s="20">
        <f>IF(AND($C27="x",$A27&lt;&gt;""),$A27,"")</f>
        <v/>
      </c>
    </row>
    <row r="28">
      <c r="A28" s="21" t="n"/>
      <c r="C28" s="21" t="n"/>
      <c r="D28" s="20">
        <f>IF(AND($C28="x",$A28&lt;&gt;""),$A28,"")</f>
        <v/>
      </c>
    </row>
    <row r="29">
      <c r="A29" s="21" t="n"/>
      <c r="C29" s="21" t="n"/>
      <c r="D29" s="20">
        <f>IF(AND($C29="x",$A29&lt;&gt;""),$A29,"")</f>
        <v/>
      </c>
    </row>
    <row r="30">
      <c r="A30" s="21" t="n"/>
      <c r="C30" s="21" t="n"/>
      <c r="D30" s="20">
        <f>IF(AND($C30="x",$A30&lt;&gt;""),$A30,"")</f>
        <v/>
      </c>
    </row>
    <row r="31">
      <c r="A31" s="21" t="n"/>
      <c r="C31" s="21" t="n"/>
      <c r="D31" s="20">
        <f>IF(AND($C31="x",$A31&lt;&gt;""),$A31,"")</f>
        <v/>
      </c>
    </row>
    <row r="32">
      <c r="A32" s="21" t="n"/>
      <c r="C32" s="21" t="n"/>
      <c r="D32" s="20">
        <f>IF(AND($C32="x",$A32&lt;&gt;""),$A32,"")</f>
        <v/>
      </c>
    </row>
    <row r="33">
      <c r="A33" s="21" t="n"/>
      <c r="C33" s="21" t="n"/>
      <c r="D33" s="20">
        <f>IF(AND($C33="x",$A33&lt;&gt;""),$A33,"")</f>
        <v/>
      </c>
    </row>
    <row r="34">
      <c r="A34" s="21" t="n"/>
      <c r="C34" s="21" t="n"/>
      <c r="D34" s="20">
        <f>IF(AND($C34="x",$A34&lt;&gt;""),$A34,"")</f>
        <v/>
      </c>
    </row>
    <row r="35">
      <c r="A35" s="21" t="n"/>
      <c r="C35" s="21" t="n"/>
      <c r="D35" s="20">
        <f>IF(AND($C35="x",$A35&lt;&gt;""),$A35,"")</f>
        <v/>
      </c>
    </row>
    <row r="36">
      <c r="A36" s="21" t="n"/>
      <c r="C36" s="21" t="n"/>
      <c r="D36" s="20">
        <f>IF(AND($C36="x",$A36&lt;&gt;""),$A36,"")</f>
        <v/>
      </c>
    </row>
    <row r="37">
      <c r="A37" s="21" t="n"/>
      <c r="C37" s="21" t="n"/>
      <c r="D37" s="20">
        <f>IF(AND($C37="x",$A37&lt;&gt;""),$A37,"")</f>
        <v/>
      </c>
    </row>
    <row r="38">
      <c r="A38" s="21" t="n"/>
      <c r="C38" s="21" t="n"/>
      <c r="D38" s="20">
        <f>IF(AND($C38="x",$A38&lt;&gt;""),$A38,"")</f>
        <v/>
      </c>
    </row>
    <row r="39">
      <c r="A39" s="21" t="n"/>
      <c r="C39" s="21" t="n"/>
      <c r="D39" s="20">
        <f>IF(AND($C39="x",$A39&lt;&gt;""),$A39,"")</f>
        <v/>
      </c>
    </row>
    <row r="40">
      <c r="A40" s="21" t="n"/>
      <c r="C40" s="21" t="n"/>
      <c r="D40" s="20">
        <f>IF(AND($C40="x",$A40&lt;&gt;""),$A40,"")</f>
        <v/>
      </c>
    </row>
    <row r="41">
      <c r="A41" s="21" t="n"/>
      <c r="C41" s="21" t="n"/>
      <c r="D41" s="20">
        <f>IF(AND($C41="x",$A41&lt;&gt;""),$A41,"")</f>
        <v/>
      </c>
    </row>
    <row r="42">
      <c r="A42" s="21" t="n"/>
      <c r="C42" s="21" t="n"/>
      <c r="D42" s="20">
        <f>IF(AND($C42="x",$A42&lt;&gt;""),$A42,"")</f>
        <v/>
      </c>
    </row>
    <row r="43">
      <c r="A43" s="21" t="n"/>
      <c r="C43" s="21" t="n"/>
      <c r="D43" s="20">
        <f>IF(AND($C43="x",$A43&lt;&gt;""),$A43,"")</f>
        <v/>
      </c>
    </row>
    <row r="44">
      <c r="A44" s="21" t="n"/>
      <c r="C44" s="21" t="n"/>
      <c r="D44" s="20">
        <f>IF(AND($C44="x",$A44&lt;&gt;""),$A44,"")</f>
        <v/>
      </c>
    </row>
    <row r="45">
      <c r="A45" s="21" t="n"/>
      <c r="C45" s="21" t="n"/>
      <c r="D45" s="20">
        <f>IF(AND($C45="x",$A45&lt;&gt;""),$A45,"")</f>
        <v/>
      </c>
    </row>
    <row r="46">
      <c r="A46" s="21" t="n"/>
      <c r="C46" s="21" t="n"/>
      <c r="D46" s="20">
        <f>IF(AND($C46="x",$A46&lt;&gt;""),$A46,"")</f>
        <v/>
      </c>
    </row>
    <row r="47">
      <c r="A47" s="21" t="n"/>
      <c r="C47" s="21" t="n"/>
      <c r="D47" s="20">
        <f>IF(AND($C47="x",$A47&lt;&gt;""),$A47,"")</f>
        <v/>
      </c>
    </row>
    <row r="48">
      <c r="A48" s="21" t="n"/>
      <c r="C48" s="21" t="n"/>
      <c r="D48" s="20">
        <f>IF(AND($C48="x",$A48&lt;&gt;""),$A48,"")</f>
        <v/>
      </c>
    </row>
    <row r="49">
      <c r="A49" s="21" t="n"/>
      <c r="C49" s="21" t="n"/>
      <c r="D49" s="20">
        <f>IF(AND($C49="x",$A49&lt;&gt;""),$A49,"")</f>
        <v/>
      </c>
    </row>
    <row r="50">
      <c r="A50" s="21" t="n"/>
      <c r="C50" s="21" t="n"/>
      <c r="D50" s="20">
        <f>IF(AND($C50="x",$A50&lt;&gt;""),$A50,"")</f>
        <v/>
      </c>
    </row>
    <row r="51">
      <c r="A51" s="21" t="n"/>
      <c r="C51" s="21" t="n"/>
      <c r="D51" s="20">
        <f>IF(AND($C51="x",$A51&lt;&gt;""),$A51,"")</f>
        <v/>
      </c>
    </row>
    <row r="52">
      <c r="A52" s="21" t="n"/>
      <c r="C52" s="21" t="n"/>
      <c r="D52" s="20">
        <f>IF(AND($C52="x",$A52&lt;&gt;""),$A52,"")</f>
        <v/>
      </c>
    </row>
    <row r="53">
      <c r="A53" s="21" t="n"/>
      <c r="C53" s="21" t="n"/>
      <c r="D53" s="20">
        <f>IF(AND($C53="x",$A53&lt;&gt;""),$A53,"")</f>
        <v/>
      </c>
    </row>
    <row r="54">
      <c r="A54" s="21" t="n"/>
      <c r="C54" s="21" t="n"/>
      <c r="D54" s="20">
        <f>IF(AND($C54="x",$A54&lt;&gt;""),$A54,"")</f>
        <v/>
      </c>
    </row>
    <row r="55">
      <c r="A55" s="21" t="n"/>
      <c r="C55" s="21" t="n"/>
      <c r="D55" s="20">
        <f>IF(AND($C55="x",$A55&lt;&gt;""),$A55,"")</f>
        <v/>
      </c>
    </row>
    <row r="56">
      <c r="A56" s="21" t="n"/>
      <c r="C56" s="21" t="n"/>
      <c r="D56" s="20">
        <f>IF(AND($C56="x",$A56&lt;&gt;""),$A56,"")</f>
        <v/>
      </c>
    </row>
    <row r="57">
      <c r="A57" s="21" t="n"/>
      <c r="C57" s="21" t="n"/>
      <c r="D57" s="20">
        <f>IF(AND($C57="x",$A57&lt;&gt;""),$A57,"")</f>
        <v/>
      </c>
    </row>
    <row r="58">
      <c r="A58" s="21" t="n"/>
      <c r="C58" s="21" t="n"/>
      <c r="D58" s="20">
        <f>IF(AND($C58="x",$A58&lt;&gt;""),$A58,"")</f>
        <v/>
      </c>
    </row>
    <row r="59">
      <c r="A59" s="21" t="n"/>
      <c r="C59" s="21" t="n"/>
      <c r="D59" s="20">
        <f>IF(AND($C59="x",$A59&lt;&gt;""),$A59,"")</f>
        <v/>
      </c>
    </row>
    <row r="60">
      <c r="A60" s="21" t="n"/>
      <c r="C60" s="21" t="n"/>
      <c r="D60" s="20">
        <f>IF(AND($C60="x",$A60&lt;&gt;""),$A60,"")</f>
        <v/>
      </c>
    </row>
    <row r="61">
      <c r="A61" s="21" t="n"/>
      <c r="C61" s="21" t="n"/>
      <c r="D61" s="20">
        <f>IF(AND($C61="x",$A61&lt;&gt;""),$A61,"")</f>
        <v/>
      </c>
    </row>
    <row r="62">
      <c r="A62" s="21" t="n"/>
      <c r="C62" s="21" t="n"/>
      <c r="D62" s="20">
        <f>IF(AND($C62="x",$A62&lt;&gt;""),$A62,"")</f>
        <v/>
      </c>
    </row>
    <row r="63">
      <c r="A63" s="21" t="n"/>
      <c r="C63" s="21" t="n"/>
      <c r="D63" s="20">
        <f>IF(AND($C63="x",$A63&lt;&gt;""),$A63,"")</f>
        <v/>
      </c>
    </row>
    <row r="64">
      <c r="A64" s="21" t="n"/>
      <c r="C64" s="21" t="n"/>
      <c r="D64" s="20">
        <f>IF(AND($C64="x",$A64&lt;&gt;""),$A64,"")</f>
        <v/>
      </c>
    </row>
    <row r="65">
      <c r="A65" s="21" t="n"/>
      <c r="C65" s="21" t="n"/>
      <c r="D65" s="20">
        <f>IF(AND($C65="x",$A65&lt;&gt;""),$A65,"")</f>
        <v/>
      </c>
    </row>
    <row r="66">
      <c r="A66" s="21" t="n"/>
      <c r="C66" s="21" t="n"/>
      <c r="D66" s="20">
        <f>IF(AND($C66="x",$A66&lt;&gt;""),$A66,"")</f>
        <v/>
      </c>
    </row>
    <row r="67">
      <c r="A67" s="21" t="n"/>
      <c r="C67" s="21" t="n"/>
      <c r="D67" s="20">
        <f>IF(AND($C67="x",$A67&lt;&gt;""),$A67,"")</f>
        <v/>
      </c>
    </row>
    <row r="68">
      <c r="A68" s="21" t="n"/>
      <c r="C68" s="21" t="n"/>
      <c r="D68" s="20">
        <f>IF(AND($C68="x",$A68&lt;&gt;""),$A68,"")</f>
        <v/>
      </c>
    </row>
    <row r="69">
      <c r="A69" s="21" t="n"/>
      <c r="C69" s="21" t="n"/>
      <c r="D69" s="20">
        <f>IF(AND($C69="x",$A69&lt;&gt;""),$A69,"")</f>
        <v/>
      </c>
    </row>
    <row r="70">
      <c r="A70" s="21" t="n"/>
      <c r="C70" s="21" t="n"/>
      <c r="D70" s="20">
        <f>IF(AND($C70="x",$A70&lt;&gt;""),$A70,"")</f>
        <v/>
      </c>
    </row>
    <row r="71">
      <c r="A71" s="21" t="n"/>
      <c r="C71" s="21" t="n"/>
      <c r="D71" s="20">
        <f>IF(AND($C71="x",$A71&lt;&gt;""),$A71,"")</f>
        <v/>
      </c>
    </row>
    <row r="72">
      <c r="A72" s="21" t="n"/>
      <c r="C72" s="21" t="n"/>
      <c r="D72" s="20">
        <f>IF(AND($C72="x",$A72&lt;&gt;""),$A72,"")</f>
        <v/>
      </c>
    </row>
    <row r="73">
      <c r="A73" s="21" t="n"/>
      <c r="C73" s="21" t="n"/>
      <c r="D73" s="20">
        <f>IF(AND($C73="x",$A73&lt;&gt;""),$A73,"")</f>
        <v/>
      </c>
    </row>
    <row r="74">
      <c r="A74" s="21" t="n"/>
      <c r="C74" s="21" t="n"/>
      <c r="D74" s="20">
        <f>IF(AND($C74="x",$A74&lt;&gt;""),$A74,"")</f>
        <v/>
      </c>
    </row>
    <row r="75">
      <c r="A75" s="21" t="n"/>
      <c r="C75" s="21" t="n"/>
      <c r="D75" s="20">
        <f>IF(AND($C75="x",$A75&lt;&gt;""),$A75,"")</f>
        <v/>
      </c>
    </row>
    <row r="76">
      <c r="A76" s="21" t="n"/>
      <c r="C76" s="21" t="n"/>
      <c r="D76" s="20">
        <f>IF(AND($C76="x",$A76&lt;&gt;""),$A76,"")</f>
        <v/>
      </c>
    </row>
    <row r="77">
      <c r="A77" s="21" t="n"/>
      <c r="C77" s="21" t="n"/>
      <c r="D77" s="20">
        <f>IF(AND($C77="x",$A77&lt;&gt;""),$A77,"")</f>
        <v/>
      </c>
    </row>
    <row r="78">
      <c r="A78" s="21" t="n"/>
      <c r="C78" s="21" t="n"/>
      <c r="D78" s="20">
        <f>IF(AND($C78="x",$A78&lt;&gt;""),$A78,"")</f>
        <v/>
      </c>
    </row>
    <row r="79">
      <c r="A79" s="21" t="n"/>
      <c r="C79" s="21" t="n"/>
      <c r="D79" s="20">
        <f>IF(AND($C79="x",$A79&lt;&gt;""),$A79,"")</f>
        <v/>
      </c>
    </row>
    <row r="80">
      <c r="A80" s="21" t="n"/>
      <c r="C80" s="21" t="n"/>
      <c r="D80" s="20">
        <f>IF(AND($C80="x",$A80&lt;&gt;""),$A80,"")</f>
        <v/>
      </c>
    </row>
  </sheetData>
  <mergeCells count="2">
    <mergeCell ref="B8:D8"/>
    <mergeCell ref="A22:C22"/>
  </mergeCells>
  <dataValidations count="1">
    <dataValidation sqref="C12 C13 C14 C15 C16 C17 C18 C19 C20 C21 C22 C23 C24 C25 C26 C27 C28 C29 C30 C31 C32 C33 C34 C35 C36 C37 C38 C39 C40 C41 C42 C43 C44 C45 C46 C47 C48 C49 C50 C51 C52 C53 C54 C55 C56 C57 C58 C59 C60 C61 C62 C63 C64 C65 C66 C67 C68 C69 C70 C71 C72 C73 C74 C75 C76 C77 C78 C79 C80" showDropDown="0" showInputMessage="0" showErrorMessage="1" allowBlank="1" errorTitle="Alleen x" error="Zet een x om het veld op te nemen, of laat de cel leeg." type="list">
      <formula1>"x"</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0"/>
  <sheetViews>
    <sheetView workbookViewId="0">
      <pane ySplit="11" topLeftCell="A12" activePane="bottomLeft" state="frozen"/>
      <selection pane="bottomLeft" activeCell="A1" sqref="A1"/>
    </sheetView>
  </sheetViews>
  <sheetFormatPr baseColWidth="8" defaultRowHeight="15"/>
  <cols>
    <col width="44" customWidth="1" min="1" max="1"/>
    <col width="62" customWidth="1" min="2" max="2"/>
    <col width="13" customWidth="1" min="3" max="3"/>
    <col hidden="1" width="10" customWidth="1" min="4" max="4"/>
  </cols>
  <sheetData>
    <row r="1">
      <c r="A1" s="13" t="inlineStr">
        <is>
          <t>Windsor-export: Meta Ads asset CTA</t>
        </is>
      </c>
      <c r="C1" s="14" t="inlineStr">
        <is>
          <t>Status: Optioneel (anders live) · Ads → Meta creatieve varianten</t>
        </is>
      </c>
    </row>
    <row r="2">
      <c r="A2" s="3" t="inlineStr">
        <is>
          <t>Connector</t>
        </is>
      </c>
      <c r="B2" s="6" t="inlineStr">
        <is>
          <t>facebook</t>
        </is>
      </c>
    </row>
    <row r="3">
      <c r="A3" s="3" t="inlineStr">
        <is>
          <t>Account-id (uit Instellingen)</t>
        </is>
      </c>
      <c r="B3" s="15">
        <f>Instellingen!$B$11</f>
        <v/>
      </c>
    </row>
    <row r="4">
      <c r="A4" s="3" t="inlineStr">
        <is>
          <t>Taaknaam (Task name)</t>
        </is>
      </c>
      <c r="B4" s="15">
        <f>"Windsor - Sheets - Meta Ads asset CTA - "&amp;Instellingen!$B$3</f>
        <v/>
      </c>
    </row>
    <row r="5">
      <c r="A5" s="3" t="inlineStr">
        <is>
          <t>Tabnaam (Sheet Name)</t>
        </is>
      </c>
      <c r="B5" s="15">
        <f>"Meta Ads - asset CTA - "&amp;Instellingen!$B$3&amp;" - windsor.ai"</f>
        <v/>
      </c>
      <c r="C5" s="12" t="inlineStr">
        <is>
          <t>Herkenning in api/_sheetdata.js gaat op bron + niveau in deze naam; hou het voorstel aan.</t>
        </is>
      </c>
    </row>
    <row r="6">
      <c r="A6" s="3" t="inlineStr">
        <is>
          <t>Columns to Match (rows to replace)</t>
        </is>
      </c>
      <c r="B6" s="6" t="inlineStr">
        <is>
          <t>date</t>
        </is>
      </c>
      <c r="C6" s="12" t="inlineStr">
        <is>
          <t>Voorstel; zoals bij de bestaande exports.</t>
        </is>
      </c>
    </row>
    <row r="7">
      <c r="A7" s="3" t="inlineStr">
        <is>
          <t>Schedule</t>
        </is>
      </c>
      <c r="B7" s="6" t="inlineStr">
        <is>
          <t>Daily · 00:00 UTC · Target Cell A1 · Authentication: Google Account</t>
        </is>
      </c>
    </row>
    <row r="8" ht="90" customHeight="1">
      <c r="A8" s="3" t="inlineStr">
        <is>
          <t>Query (gegenereerd — api_key blijft leeg)</t>
        </is>
      </c>
      <c r="B8" s="16">
        <f>"https://connectors.windsor.ai/"&amp;$B$2&amp;"?api_key="&amp;IF(Instellingen!$B$4&lt;&gt;"","&amp;date_preset="&amp;Instellingen!$B$4,"")&amp;"&amp;fields="&amp;_xlfn.TEXTJOIN(",",TRUE,$D$12:$D$80)&amp;IF($B$3&lt;&gt;"","&amp;select_accounts="&amp;$B$3,"")&amp;IF(Instellingen!$B$5&lt;&gt;"","&amp;_field_headers="&amp;Instellingen!$B$5,"")</f>
        <v/>
      </c>
    </row>
    <row r="9">
      <c r="A9" s="3" t="inlineStr">
        <is>
          <t>Aantal velden in de query</t>
        </is>
      </c>
      <c r="B9" s="17">
        <f>COUNTIF($C$12:$C$80,"x")</f>
        <v/>
      </c>
    </row>
    <row r="11">
      <c r="A11" s="8" t="inlineStr">
        <is>
          <t>Veld (Windsor-id)</t>
        </is>
      </c>
      <c r="B11" s="8" t="inlineStr">
        <is>
          <t>Gebruik in het dashboard</t>
        </is>
      </c>
      <c r="C11" s="8" t="inlineStr">
        <is>
          <t>Opnemen (x)</t>
        </is>
      </c>
      <c r="D11" s="8" t="inlineStr">
        <is>
          <t>→ query</t>
        </is>
      </c>
    </row>
    <row r="12">
      <c r="A12" s="9" t="inlineStr">
        <is>
          <t>date</t>
        </is>
      </c>
      <c r="B12" s="18" t="inlineStr">
        <is>
          <t>Datumkolom: 'Columns to Match' en periodefilter</t>
        </is>
      </c>
      <c r="C12" s="19" t="inlineStr">
        <is>
          <t>x</t>
        </is>
      </c>
      <c r="D12" s="20">
        <f>IF(AND($C12="x",$A12&lt;&gt;""),$A12,"")</f>
        <v/>
      </c>
    </row>
    <row r="13">
      <c r="A13" s="9" t="inlineStr">
        <is>
          <t>account_id</t>
        </is>
      </c>
      <c r="B13" s="18" t="inlineStr">
        <is>
          <t>Accountcontrole: alleen rijen van dit account tellen mee</t>
        </is>
      </c>
      <c r="C13" s="19" t="inlineStr">
        <is>
          <t>x</t>
        </is>
      </c>
      <c r="D13" s="20">
        <f>IF(AND($C13="x",$A13&lt;&gt;""),$A13,"")</f>
        <v/>
      </c>
    </row>
    <row r="14">
      <c r="A14" s="9" t="inlineStr">
        <is>
          <t>account_name</t>
        </is>
      </c>
      <c r="B14" s="18" t="inlineStr">
        <is>
          <t>Idem, leesbaar</t>
        </is>
      </c>
      <c r="C14" s="19" t="inlineStr">
        <is>
          <t>x</t>
        </is>
      </c>
      <c r="D14" s="20">
        <f>IF(AND($C14="x",$A14&lt;&gt;""),$A14,"")</f>
        <v/>
      </c>
    </row>
    <row r="15">
      <c r="A15" s="9" t="inlineStr">
        <is>
          <t>ad_id</t>
        </is>
      </c>
      <c r="B15" s="18" t="inlineStr">
        <is>
          <t>Advertentie</t>
        </is>
      </c>
      <c r="C15" s="19" t="inlineStr">
        <is>
          <t>x</t>
        </is>
      </c>
      <c r="D15" s="20">
        <f>IF(AND($C15="x",$A15&lt;&gt;""),$A15,"")</f>
        <v/>
      </c>
    </row>
    <row r="16">
      <c r="A16" s="9" t="inlineStr">
        <is>
          <t>call_to_action_asset_name</t>
        </is>
      </c>
      <c r="B16" s="18" t="inlineStr">
        <is>
          <t>CTA-variant — één asset-breakdown per export</t>
        </is>
      </c>
      <c r="C16" s="19" t="inlineStr">
        <is>
          <t>x</t>
        </is>
      </c>
      <c r="D16" s="20">
        <f>IF(AND($C16="x",$A16&lt;&gt;""),$A16,"")</f>
        <v/>
      </c>
    </row>
    <row r="17">
      <c r="A17" s="9" t="inlineStr">
        <is>
          <t>impressions</t>
        </is>
      </c>
      <c r="B17" s="18" t="inlineStr">
        <is>
          <t>Vertoningen</t>
        </is>
      </c>
      <c r="C17" s="19" t="inlineStr">
        <is>
          <t>x</t>
        </is>
      </c>
      <c r="D17" s="20">
        <f>IF(AND($C17="x",$A17&lt;&gt;""),$A17,"")</f>
        <v/>
      </c>
    </row>
    <row r="18">
      <c r="A18" s="9" t="inlineStr">
        <is>
          <t>clicks</t>
        </is>
      </c>
      <c r="B18" s="18" t="inlineStr">
        <is>
          <t>Kliks</t>
        </is>
      </c>
      <c r="C18" s="19" t="inlineStr">
        <is>
          <t>x</t>
        </is>
      </c>
      <c r="D18" s="20">
        <f>IF(AND($C18="x",$A18&lt;&gt;""),$A18,"")</f>
        <v/>
      </c>
    </row>
    <row r="19">
      <c r="A19" s="9" t="inlineStr">
        <is>
          <t>spend</t>
        </is>
      </c>
      <c r="B19" s="18" t="inlineStr">
        <is>
          <t>Kosten</t>
        </is>
      </c>
      <c r="C19" s="19" t="inlineStr">
        <is>
          <t>x</t>
        </is>
      </c>
      <c r="D19" s="20">
        <f>IF(AND($C19="x",$A19&lt;&gt;""),$A19,"")</f>
        <v/>
      </c>
    </row>
    <row r="20">
      <c r="A20" s="9" t="inlineStr">
        <is>
          <t>actions_purchase</t>
        </is>
      </c>
      <c r="B20" s="18" t="inlineStr">
        <is>
          <t>Aankopen (Meta kan dit weigeren naast de breakdown; dan weglaten)</t>
        </is>
      </c>
      <c r="C20" s="19" t="inlineStr">
        <is>
          <t>x</t>
        </is>
      </c>
      <c r="D20" s="20">
        <f>IF(AND($C20="x",$A20&lt;&gt;""),$A20,"")</f>
        <v/>
      </c>
    </row>
    <row r="21">
      <c r="A21" s="9" t="inlineStr">
        <is>
          <t>actions_lead</t>
        </is>
      </c>
      <c r="B21" s="18" t="inlineStr">
        <is>
          <t>Leads (idem)</t>
        </is>
      </c>
      <c r="C21" s="19" t="inlineStr">
        <is>
          <t>x</t>
        </is>
      </c>
      <c r="D21" s="20">
        <f>IF(AND($C21="x",$A21&lt;&gt;""),$A21,"")</f>
        <v/>
      </c>
    </row>
    <row r="22">
      <c r="A22" s="14" t="inlineStr">
        <is>
          <t>Eigen veld toevoegen: zet hieronder het Windsor-veld-id in kolom A en een x in kolom C (tot rij 80).</t>
        </is>
      </c>
    </row>
    <row r="23">
      <c r="A23" s="21" t="n"/>
      <c r="C23" s="21" t="n"/>
      <c r="D23" s="20">
        <f>IF(AND($C23="x",$A23&lt;&gt;""),$A23,"")</f>
        <v/>
      </c>
    </row>
    <row r="24">
      <c r="A24" s="21" t="n"/>
      <c r="C24" s="21" t="n"/>
      <c r="D24" s="20">
        <f>IF(AND($C24="x",$A24&lt;&gt;""),$A24,"")</f>
        <v/>
      </c>
    </row>
    <row r="25">
      <c r="A25" s="21" t="n"/>
      <c r="C25" s="21" t="n"/>
      <c r="D25" s="20">
        <f>IF(AND($C25="x",$A25&lt;&gt;""),$A25,"")</f>
        <v/>
      </c>
    </row>
    <row r="26">
      <c r="A26" s="21" t="n"/>
      <c r="C26" s="21" t="n"/>
      <c r="D26" s="20">
        <f>IF(AND($C26="x",$A26&lt;&gt;""),$A26,"")</f>
        <v/>
      </c>
    </row>
    <row r="27">
      <c r="A27" s="21" t="n"/>
      <c r="C27" s="21" t="n"/>
      <c r="D27" s="20">
        <f>IF(AND($C27="x",$A27&lt;&gt;""),$A27,"")</f>
        <v/>
      </c>
    </row>
    <row r="28">
      <c r="A28" s="21" t="n"/>
      <c r="C28" s="21" t="n"/>
      <c r="D28" s="20">
        <f>IF(AND($C28="x",$A28&lt;&gt;""),$A28,"")</f>
        <v/>
      </c>
    </row>
    <row r="29">
      <c r="A29" s="21" t="n"/>
      <c r="C29" s="21" t="n"/>
      <c r="D29" s="20">
        <f>IF(AND($C29="x",$A29&lt;&gt;""),$A29,"")</f>
        <v/>
      </c>
    </row>
    <row r="30">
      <c r="A30" s="21" t="n"/>
      <c r="C30" s="21" t="n"/>
      <c r="D30" s="20">
        <f>IF(AND($C30="x",$A30&lt;&gt;""),$A30,"")</f>
        <v/>
      </c>
    </row>
    <row r="31">
      <c r="A31" s="21" t="n"/>
      <c r="C31" s="21" t="n"/>
      <c r="D31" s="20">
        <f>IF(AND($C31="x",$A31&lt;&gt;""),$A31,"")</f>
        <v/>
      </c>
    </row>
    <row r="32">
      <c r="A32" s="21" t="n"/>
      <c r="C32" s="21" t="n"/>
      <c r="D32" s="20">
        <f>IF(AND($C32="x",$A32&lt;&gt;""),$A32,"")</f>
        <v/>
      </c>
    </row>
    <row r="33">
      <c r="A33" s="21" t="n"/>
      <c r="C33" s="21" t="n"/>
      <c r="D33" s="20">
        <f>IF(AND($C33="x",$A33&lt;&gt;""),$A33,"")</f>
        <v/>
      </c>
    </row>
    <row r="34">
      <c r="A34" s="21" t="n"/>
      <c r="C34" s="21" t="n"/>
      <c r="D34" s="20">
        <f>IF(AND($C34="x",$A34&lt;&gt;""),$A34,"")</f>
        <v/>
      </c>
    </row>
    <row r="35">
      <c r="A35" s="21" t="n"/>
      <c r="C35" s="21" t="n"/>
      <c r="D35" s="20">
        <f>IF(AND($C35="x",$A35&lt;&gt;""),$A35,"")</f>
        <v/>
      </c>
    </row>
    <row r="36">
      <c r="A36" s="21" t="n"/>
      <c r="C36" s="21" t="n"/>
      <c r="D36" s="20">
        <f>IF(AND($C36="x",$A36&lt;&gt;""),$A36,"")</f>
        <v/>
      </c>
    </row>
    <row r="37">
      <c r="A37" s="21" t="n"/>
      <c r="C37" s="21" t="n"/>
      <c r="D37" s="20">
        <f>IF(AND($C37="x",$A37&lt;&gt;""),$A37,"")</f>
        <v/>
      </c>
    </row>
    <row r="38">
      <c r="A38" s="21" t="n"/>
      <c r="C38" s="21" t="n"/>
      <c r="D38" s="20">
        <f>IF(AND($C38="x",$A38&lt;&gt;""),$A38,"")</f>
        <v/>
      </c>
    </row>
    <row r="39">
      <c r="A39" s="21" t="n"/>
      <c r="C39" s="21" t="n"/>
      <c r="D39" s="20">
        <f>IF(AND($C39="x",$A39&lt;&gt;""),$A39,"")</f>
        <v/>
      </c>
    </row>
    <row r="40">
      <c r="A40" s="21" t="n"/>
      <c r="C40" s="21" t="n"/>
      <c r="D40" s="20">
        <f>IF(AND($C40="x",$A40&lt;&gt;""),$A40,"")</f>
        <v/>
      </c>
    </row>
    <row r="41">
      <c r="A41" s="21" t="n"/>
      <c r="C41" s="21" t="n"/>
      <c r="D41" s="20">
        <f>IF(AND($C41="x",$A41&lt;&gt;""),$A41,"")</f>
        <v/>
      </c>
    </row>
    <row r="42">
      <c r="A42" s="21" t="n"/>
      <c r="C42" s="21" t="n"/>
      <c r="D42" s="20">
        <f>IF(AND($C42="x",$A42&lt;&gt;""),$A42,"")</f>
        <v/>
      </c>
    </row>
    <row r="43">
      <c r="A43" s="21" t="n"/>
      <c r="C43" s="21" t="n"/>
      <c r="D43" s="20">
        <f>IF(AND($C43="x",$A43&lt;&gt;""),$A43,"")</f>
        <v/>
      </c>
    </row>
    <row r="44">
      <c r="A44" s="21" t="n"/>
      <c r="C44" s="21" t="n"/>
      <c r="D44" s="20">
        <f>IF(AND($C44="x",$A44&lt;&gt;""),$A44,"")</f>
        <v/>
      </c>
    </row>
    <row r="45">
      <c r="A45" s="21" t="n"/>
      <c r="C45" s="21" t="n"/>
      <c r="D45" s="20">
        <f>IF(AND($C45="x",$A45&lt;&gt;""),$A45,"")</f>
        <v/>
      </c>
    </row>
    <row r="46">
      <c r="A46" s="21" t="n"/>
      <c r="C46" s="21" t="n"/>
      <c r="D46" s="20">
        <f>IF(AND($C46="x",$A46&lt;&gt;""),$A46,"")</f>
        <v/>
      </c>
    </row>
    <row r="47">
      <c r="A47" s="21" t="n"/>
      <c r="C47" s="21" t="n"/>
      <c r="D47" s="20">
        <f>IF(AND($C47="x",$A47&lt;&gt;""),$A47,"")</f>
        <v/>
      </c>
    </row>
    <row r="48">
      <c r="A48" s="21" t="n"/>
      <c r="C48" s="21" t="n"/>
      <c r="D48" s="20">
        <f>IF(AND($C48="x",$A48&lt;&gt;""),$A48,"")</f>
        <v/>
      </c>
    </row>
    <row r="49">
      <c r="A49" s="21" t="n"/>
      <c r="C49" s="21" t="n"/>
      <c r="D49" s="20">
        <f>IF(AND($C49="x",$A49&lt;&gt;""),$A49,"")</f>
        <v/>
      </c>
    </row>
    <row r="50">
      <c r="A50" s="21" t="n"/>
      <c r="C50" s="21" t="n"/>
      <c r="D50" s="20">
        <f>IF(AND($C50="x",$A50&lt;&gt;""),$A50,"")</f>
        <v/>
      </c>
    </row>
    <row r="51">
      <c r="A51" s="21" t="n"/>
      <c r="C51" s="21" t="n"/>
      <c r="D51" s="20">
        <f>IF(AND($C51="x",$A51&lt;&gt;""),$A51,"")</f>
        <v/>
      </c>
    </row>
    <row r="52">
      <c r="A52" s="21" t="n"/>
      <c r="C52" s="21" t="n"/>
      <c r="D52" s="20">
        <f>IF(AND($C52="x",$A52&lt;&gt;""),$A52,"")</f>
        <v/>
      </c>
    </row>
    <row r="53">
      <c r="A53" s="21" t="n"/>
      <c r="C53" s="21" t="n"/>
      <c r="D53" s="20">
        <f>IF(AND($C53="x",$A53&lt;&gt;""),$A53,"")</f>
        <v/>
      </c>
    </row>
    <row r="54">
      <c r="A54" s="21" t="n"/>
      <c r="C54" s="21" t="n"/>
      <c r="D54" s="20">
        <f>IF(AND($C54="x",$A54&lt;&gt;""),$A54,"")</f>
        <v/>
      </c>
    </row>
    <row r="55">
      <c r="A55" s="21" t="n"/>
      <c r="C55" s="21" t="n"/>
      <c r="D55" s="20">
        <f>IF(AND($C55="x",$A55&lt;&gt;""),$A55,"")</f>
        <v/>
      </c>
    </row>
    <row r="56">
      <c r="A56" s="21" t="n"/>
      <c r="C56" s="21" t="n"/>
      <c r="D56" s="20">
        <f>IF(AND($C56="x",$A56&lt;&gt;""),$A56,"")</f>
        <v/>
      </c>
    </row>
    <row r="57">
      <c r="A57" s="21" t="n"/>
      <c r="C57" s="21" t="n"/>
      <c r="D57" s="20">
        <f>IF(AND($C57="x",$A57&lt;&gt;""),$A57,"")</f>
        <v/>
      </c>
    </row>
    <row r="58">
      <c r="A58" s="21" t="n"/>
      <c r="C58" s="21" t="n"/>
      <c r="D58" s="20">
        <f>IF(AND($C58="x",$A58&lt;&gt;""),$A58,"")</f>
        <v/>
      </c>
    </row>
    <row r="59">
      <c r="A59" s="21" t="n"/>
      <c r="C59" s="21" t="n"/>
      <c r="D59" s="20">
        <f>IF(AND($C59="x",$A59&lt;&gt;""),$A59,"")</f>
        <v/>
      </c>
    </row>
    <row r="60">
      <c r="A60" s="21" t="n"/>
      <c r="C60" s="21" t="n"/>
      <c r="D60" s="20">
        <f>IF(AND($C60="x",$A60&lt;&gt;""),$A60,"")</f>
        <v/>
      </c>
    </row>
    <row r="61">
      <c r="A61" s="21" t="n"/>
      <c r="C61" s="21" t="n"/>
      <c r="D61" s="20">
        <f>IF(AND($C61="x",$A61&lt;&gt;""),$A61,"")</f>
        <v/>
      </c>
    </row>
    <row r="62">
      <c r="A62" s="21" t="n"/>
      <c r="C62" s="21" t="n"/>
      <c r="D62" s="20">
        <f>IF(AND($C62="x",$A62&lt;&gt;""),$A62,"")</f>
        <v/>
      </c>
    </row>
    <row r="63">
      <c r="A63" s="21" t="n"/>
      <c r="C63" s="21" t="n"/>
      <c r="D63" s="20">
        <f>IF(AND($C63="x",$A63&lt;&gt;""),$A63,"")</f>
        <v/>
      </c>
    </row>
    <row r="64">
      <c r="A64" s="21" t="n"/>
      <c r="C64" s="21" t="n"/>
      <c r="D64" s="20">
        <f>IF(AND($C64="x",$A64&lt;&gt;""),$A64,"")</f>
        <v/>
      </c>
    </row>
    <row r="65">
      <c r="A65" s="21" t="n"/>
      <c r="C65" s="21" t="n"/>
      <c r="D65" s="20">
        <f>IF(AND($C65="x",$A65&lt;&gt;""),$A65,"")</f>
        <v/>
      </c>
    </row>
    <row r="66">
      <c r="A66" s="21" t="n"/>
      <c r="C66" s="21" t="n"/>
      <c r="D66" s="20">
        <f>IF(AND($C66="x",$A66&lt;&gt;""),$A66,"")</f>
        <v/>
      </c>
    </row>
    <row r="67">
      <c r="A67" s="21" t="n"/>
      <c r="C67" s="21" t="n"/>
      <c r="D67" s="20">
        <f>IF(AND($C67="x",$A67&lt;&gt;""),$A67,"")</f>
        <v/>
      </c>
    </row>
    <row r="68">
      <c r="A68" s="21" t="n"/>
      <c r="C68" s="21" t="n"/>
      <c r="D68" s="20">
        <f>IF(AND($C68="x",$A68&lt;&gt;""),$A68,"")</f>
        <v/>
      </c>
    </row>
    <row r="69">
      <c r="A69" s="21" t="n"/>
      <c r="C69" s="21" t="n"/>
      <c r="D69" s="20">
        <f>IF(AND($C69="x",$A69&lt;&gt;""),$A69,"")</f>
        <v/>
      </c>
    </row>
    <row r="70">
      <c r="A70" s="21" t="n"/>
      <c r="C70" s="21" t="n"/>
      <c r="D70" s="20">
        <f>IF(AND($C70="x",$A70&lt;&gt;""),$A70,"")</f>
        <v/>
      </c>
    </row>
    <row r="71">
      <c r="A71" s="21" t="n"/>
      <c r="C71" s="21" t="n"/>
      <c r="D71" s="20">
        <f>IF(AND($C71="x",$A71&lt;&gt;""),$A71,"")</f>
        <v/>
      </c>
    </row>
    <row r="72">
      <c r="A72" s="21" t="n"/>
      <c r="C72" s="21" t="n"/>
      <c r="D72" s="20">
        <f>IF(AND($C72="x",$A72&lt;&gt;""),$A72,"")</f>
        <v/>
      </c>
    </row>
    <row r="73">
      <c r="A73" s="21" t="n"/>
      <c r="C73" s="21" t="n"/>
      <c r="D73" s="20">
        <f>IF(AND($C73="x",$A73&lt;&gt;""),$A73,"")</f>
        <v/>
      </c>
    </row>
    <row r="74">
      <c r="A74" s="21" t="n"/>
      <c r="C74" s="21" t="n"/>
      <c r="D74" s="20">
        <f>IF(AND($C74="x",$A74&lt;&gt;""),$A74,"")</f>
        <v/>
      </c>
    </row>
    <row r="75">
      <c r="A75" s="21" t="n"/>
      <c r="C75" s="21" t="n"/>
      <c r="D75" s="20">
        <f>IF(AND($C75="x",$A75&lt;&gt;""),$A75,"")</f>
        <v/>
      </c>
    </row>
    <row r="76">
      <c r="A76" s="21" t="n"/>
      <c r="C76" s="21" t="n"/>
      <c r="D76" s="20">
        <f>IF(AND($C76="x",$A76&lt;&gt;""),$A76,"")</f>
        <v/>
      </c>
    </row>
    <row r="77">
      <c r="A77" s="21" t="n"/>
      <c r="C77" s="21" t="n"/>
      <c r="D77" s="20">
        <f>IF(AND($C77="x",$A77&lt;&gt;""),$A77,"")</f>
        <v/>
      </c>
    </row>
    <row r="78">
      <c r="A78" s="21" t="n"/>
      <c r="C78" s="21" t="n"/>
      <c r="D78" s="20">
        <f>IF(AND($C78="x",$A78&lt;&gt;""),$A78,"")</f>
        <v/>
      </c>
    </row>
    <row r="79">
      <c r="A79" s="21" t="n"/>
      <c r="C79" s="21" t="n"/>
      <c r="D79" s="20">
        <f>IF(AND($C79="x",$A79&lt;&gt;""),$A79,"")</f>
        <v/>
      </c>
    </row>
    <row r="80">
      <c r="A80" s="21" t="n"/>
      <c r="C80" s="21" t="n"/>
      <c r="D80" s="20">
        <f>IF(AND($C80="x",$A80&lt;&gt;""),$A80,"")</f>
        <v/>
      </c>
    </row>
  </sheetData>
  <mergeCells count="2">
    <mergeCell ref="B8:D8"/>
    <mergeCell ref="A22:C22"/>
  </mergeCells>
  <dataValidations count="1">
    <dataValidation sqref="C12 C13 C14 C15 C16 C17 C18 C19 C20 C21 C22 C23 C24 C25 C26 C27 C28 C29 C30 C31 C32 C33 C34 C35 C36 C37 C38 C39 C40 C41 C42 C43 C44 C45 C46 C47 C48 C49 C50 C51 C52 C53 C54 C55 C56 C57 C58 C59 C60 C61 C62 C63 C64 C65 C66 C67 C68 C69 C70 C71 C72 C73 C74 C75 C76 C77 C78 C79 C80" showDropDown="0" showInputMessage="0" showErrorMessage="1" allowBlank="1" errorTitle="Alleen x" error="Zet een x om het veld op te nemen, of laat de cel leeg." type="list">
      <formula1>"x"</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80"/>
  <sheetViews>
    <sheetView workbookViewId="0">
      <pane ySplit="11" topLeftCell="A12" activePane="bottomLeft" state="frozen"/>
      <selection pane="bottomLeft" activeCell="A1" sqref="A1"/>
    </sheetView>
  </sheetViews>
  <sheetFormatPr baseColWidth="8" defaultRowHeight="15"/>
  <cols>
    <col width="44" customWidth="1" min="1" max="1"/>
    <col width="62" customWidth="1" min="2" max="2"/>
    <col width="13" customWidth="1" min="3" max="3"/>
    <col hidden="1" width="10" customWidth="1" min="4" max="4"/>
  </cols>
  <sheetData>
    <row r="1">
      <c r="A1" s="13" t="inlineStr">
        <is>
          <t>Windsor-export: Meta Ads asset image</t>
        </is>
      </c>
      <c r="C1" s="14" t="inlineStr">
        <is>
          <t>Status: Optioneel (anders live) · Ads → Meta creatieve varianten</t>
        </is>
      </c>
    </row>
    <row r="2">
      <c r="A2" s="3" t="inlineStr">
        <is>
          <t>Connector</t>
        </is>
      </c>
      <c r="B2" s="6" t="inlineStr">
        <is>
          <t>facebook</t>
        </is>
      </c>
    </row>
    <row r="3">
      <c r="A3" s="3" t="inlineStr">
        <is>
          <t>Account-id (uit Instellingen)</t>
        </is>
      </c>
      <c r="B3" s="15">
        <f>Instellingen!$B$11</f>
        <v/>
      </c>
    </row>
    <row r="4">
      <c r="A4" s="3" t="inlineStr">
        <is>
          <t>Taaknaam (Task name)</t>
        </is>
      </c>
      <c r="B4" s="15">
        <f>"Windsor - Sheets - Meta Ads asset image - "&amp;Instellingen!$B$3</f>
        <v/>
      </c>
    </row>
    <row r="5">
      <c r="A5" s="3" t="inlineStr">
        <is>
          <t>Tabnaam (Sheet Name)</t>
        </is>
      </c>
      <c r="B5" s="15">
        <f>"Meta Ads - asset image - "&amp;Instellingen!$B$3&amp;" - windsor.ai"</f>
        <v/>
      </c>
      <c r="C5" s="12" t="inlineStr">
        <is>
          <t>Herkenning in api/_sheetdata.js gaat op bron + niveau in deze naam; hou het voorstel aan.</t>
        </is>
      </c>
    </row>
    <row r="6">
      <c r="A6" s="3" t="inlineStr">
        <is>
          <t>Columns to Match (rows to replace)</t>
        </is>
      </c>
      <c r="B6" s="6" t="inlineStr">
        <is>
          <t>date</t>
        </is>
      </c>
      <c r="C6" s="12" t="inlineStr">
        <is>
          <t>Voorstel; zoals bij de bestaande exports.</t>
        </is>
      </c>
    </row>
    <row r="7">
      <c r="A7" s="3" t="inlineStr">
        <is>
          <t>Schedule</t>
        </is>
      </c>
      <c r="B7" s="6" t="inlineStr">
        <is>
          <t>Daily · 00:00 UTC · Target Cell A1 · Authentication: Google Account</t>
        </is>
      </c>
    </row>
    <row r="8" ht="90" customHeight="1">
      <c r="A8" s="3" t="inlineStr">
        <is>
          <t>Query (gegenereerd — api_key blijft leeg)</t>
        </is>
      </c>
      <c r="B8" s="16">
        <f>"https://connectors.windsor.ai/"&amp;$B$2&amp;"?api_key="&amp;IF(Instellingen!$B$4&lt;&gt;"","&amp;date_preset="&amp;Instellingen!$B$4,"")&amp;"&amp;fields="&amp;_xlfn.TEXTJOIN(",",TRUE,$D$12:$D$80)&amp;IF($B$3&lt;&gt;"","&amp;select_accounts="&amp;$B$3,"")&amp;IF(Instellingen!$B$5&lt;&gt;"","&amp;_field_headers="&amp;Instellingen!$B$5,"")</f>
        <v/>
      </c>
    </row>
    <row r="9">
      <c r="A9" s="3" t="inlineStr">
        <is>
          <t>Aantal velden in de query</t>
        </is>
      </c>
      <c r="B9" s="17">
        <f>COUNTIF($C$12:$C$80,"x")</f>
        <v/>
      </c>
    </row>
    <row r="11">
      <c r="A11" s="8" t="inlineStr">
        <is>
          <t>Veld (Windsor-id)</t>
        </is>
      </c>
      <c r="B11" s="8" t="inlineStr">
        <is>
          <t>Gebruik in het dashboard</t>
        </is>
      </c>
      <c r="C11" s="8" t="inlineStr">
        <is>
          <t>Opnemen (x)</t>
        </is>
      </c>
      <c r="D11" s="8" t="inlineStr">
        <is>
          <t>→ query</t>
        </is>
      </c>
    </row>
    <row r="12">
      <c r="A12" s="9" t="inlineStr">
        <is>
          <t>date</t>
        </is>
      </c>
      <c r="B12" s="18" t="inlineStr">
        <is>
          <t>Datumkolom: 'Columns to Match' en periodefilter</t>
        </is>
      </c>
      <c r="C12" s="19" t="inlineStr">
        <is>
          <t>x</t>
        </is>
      </c>
      <c r="D12" s="20">
        <f>IF(AND($C12="x",$A12&lt;&gt;""),$A12,"")</f>
        <v/>
      </c>
    </row>
    <row r="13">
      <c r="A13" s="9" t="inlineStr">
        <is>
          <t>account_id</t>
        </is>
      </c>
      <c r="B13" s="18" t="inlineStr">
        <is>
          <t>Accountcontrole: alleen rijen van dit account tellen mee</t>
        </is>
      </c>
      <c r="C13" s="19" t="inlineStr">
        <is>
          <t>x</t>
        </is>
      </c>
      <c r="D13" s="20">
        <f>IF(AND($C13="x",$A13&lt;&gt;""),$A13,"")</f>
        <v/>
      </c>
    </row>
    <row r="14">
      <c r="A14" s="9" t="inlineStr">
        <is>
          <t>account_name</t>
        </is>
      </c>
      <c r="B14" s="18" t="inlineStr">
        <is>
          <t>Idem, leesbaar</t>
        </is>
      </c>
      <c r="C14" s="19" t="inlineStr">
        <is>
          <t>x</t>
        </is>
      </c>
      <c r="D14" s="20">
        <f>IF(AND($C14="x",$A14&lt;&gt;""),$A14,"")</f>
        <v/>
      </c>
    </row>
    <row r="15">
      <c r="A15" s="9" t="inlineStr">
        <is>
          <t>ad_id</t>
        </is>
      </c>
      <c r="B15" s="18" t="inlineStr">
        <is>
          <t>Advertentie</t>
        </is>
      </c>
      <c r="C15" s="19" t="inlineStr">
        <is>
          <t>x</t>
        </is>
      </c>
      <c r="D15" s="20">
        <f>IF(AND($C15="x",$A15&lt;&gt;""),$A15,"")</f>
        <v/>
      </c>
    </row>
    <row r="16">
      <c r="A16" s="9" t="inlineStr">
        <is>
          <t>image_asset_url</t>
        </is>
      </c>
      <c r="B16" s="18" t="inlineStr">
        <is>
          <t>Beeldvariant — één asset-breakdown per export</t>
        </is>
      </c>
      <c r="C16" s="19" t="inlineStr">
        <is>
          <t>x</t>
        </is>
      </c>
      <c r="D16" s="20">
        <f>IF(AND($C16="x",$A16&lt;&gt;""),$A16,"")</f>
        <v/>
      </c>
    </row>
    <row r="17">
      <c r="A17" s="9" t="inlineStr">
        <is>
          <t>impressions</t>
        </is>
      </c>
      <c r="B17" s="18" t="inlineStr">
        <is>
          <t>Vertoningen</t>
        </is>
      </c>
      <c r="C17" s="19" t="inlineStr">
        <is>
          <t>x</t>
        </is>
      </c>
      <c r="D17" s="20">
        <f>IF(AND($C17="x",$A17&lt;&gt;""),$A17,"")</f>
        <v/>
      </c>
    </row>
    <row r="18">
      <c r="A18" s="9" t="inlineStr">
        <is>
          <t>clicks</t>
        </is>
      </c>
      <c r="B18" s="18" t="inlineStr">
        <is>
          <t>Kliks</t>
        </is>
      </c>
      <c r="C18" s="19" t="inlineStr">
        <is>
          <t>x</t>
        </is>
      </c>
      <c r="D18" s="20">
        <f>IF(AND($C18="x",$A18&lt;&gt;""),$A18,"")</f>
        <v/>
      </c>
    </row>
    <row r="19">
      <c r="A19" s="9" t="inlineStr">
        <is>
          <t>spend</t>
        </is>
      </c>
      <c r="B19" s="18" t="inlineStr">
        <is>
          <t>Kosten</t>
        </is>
      </c>
      <c r="C19" s="19" t="inlineStr">
        <is>
          <t>x</t>
        </is>
      </c>
      <c r="D19" s="20">
        <f>IF(AND($C19="x",$A19&lt;&gt;""),$A19,"")</f>
        <v/>
      </c>
    </row>
    <row r="20">
      <c r="A20" s="9" t="inlineStr">
        <is>
          <t>actions_purchase</t>
        </is>
      </c>
      <c r="B20" s="18" t="inlineStr">
        <is>
          <t>Aankopen (Meta kan dit weigeren naast de breakdown; dan weglaten)</t>
        </is>
      </c>
      <c r="C20" s="19" t="inlineStr">
        <is>
          <t>x</t>
        </is>
      </c>
      <c r="D20" s="20">
        <f>IF(AND($C20="x",$A20&lt;&gt;""),$A20,"")</f>
        <v/>
      </c>
    </row>
    <row r="21">
      <c r="A21" s="9" t="inlineStr">
        <is>
          <t>actions_lead</t>
        </is>
      </c>
      <c r="B21" s="18" t="inlineStr">
        <is>
          <t>Leads (idem)</t>
        </is>
      </c>
      <c r="C21" s="19" t="inlineStr">
        <is>
          <t>x</t>
        </is>
      </c>
      <c r="D21" s="20">
        <f>IF(AND($C21="x",$A21&lt;&gt;""),$A21,"")</f>
        <v/>
      </c>
    </row>
    <row r="22">
      <c r="A22" s="14" t="inlineStr">
        <is>
          <t>Eigen veld toevoegen: zet hieronder het Windsor-veld-id in kolom A en een x in kolom C (tot rij 80).</t>
        </is>
      </c>
    </row>
    <row r="23">
      <c r="A23" s="21" t="n"/>
      <c r="C23" s="21" t="n"/>
      <c r="D23" s="20">
        <f>IF(AND($C23="x",$A23&lt;&gt;""),$A23,"")</f>
        <v/>
      </c>
    </row>
    <row r="24">
      <c r="A24" s="21" t="n"/>
      <c r="C24" s="21" t="n"/>
      <c r="D24" s="20">
        <f>IF(AND($C24="x",$A24&lt;&gt;""),$A24,"")</f>
        <v/>
      </c>
    </row>
    <row r="25">
      <c r="A25" s="21" t="n"/>
      <c r="C25" s="21" t="n"/>
      <c r="D25" s="20">
        <f>IF(AND($C25="x",$A25&lt;&gt;""),$A25,"")</f>
        <v/>
      </c>
    </row>
    <row r="26">
      <c r="A26" s="21" t="n"/>
      <c r="C26" s="21" t="n"/>
      <c r="D26" s="20">
        <f>IF(AND($C26="x",$A26&lt;&gt;""),$A26,"")</f>
        <v/>
      </c>
    </row>
    <row r="27">
      <c r="A27" s="21" t="n"/>
      <c r="C27" s="21" t="n"/>
      <c r="D27" s="20">
        <f>IF(AND($C27="x",$A27&lt;&gt;""),$A27,"")</f>
        <v/>
      </c>
    </row>
    <row r="28">
      <c r="A28" s="21" t="n"/>
      <c r="C28" s="21" t="n"/>
      <c r="D28" s="20">
        <f>IF(AND($C28="x",$A28&lt;&gt;""),$A28,"")</f>
        <v/>
      </c>
    </row>
    <row r="29">
      <c r="A29" s="21" t="n"/>
      <c r="C29" s="21" t="n"/>
      <c r="D29" s="20">
        <f>IF(AND($C29="x",$A29&lt;&gt;""),$A29,"")</f>
        <v/>
      </c>
    </row>
    <row r="30">
      <c r="A30" s="21" t="n"/>
      <c r="C30" s="21" t="n"/>
      <c r="D30" s="20">
        <f>IF(AND($C30="x",$A30&lt;&gt;""),$A30,"")</f>
        <v/>
      </c>
    </row>
    <row r="31">
      <c r="A31" s="21" t="n"/>
      <c r="C31" s="21" t="n"/>
      <c r="D31" s="20">
        <f>IF(AND($C31="x",$A31&lt;&gt;""),$A31,"")</f>
        <v/>
      </c>
    </row>
    <row r="32">
      <c r="A32" s="21" t="n"/>
      <c r="C32" s="21" t="n"/>
      <c r="D32" s="20">
        <f>IF(AND($C32="x",$A32&lt;&gt;""),$A32,"")</f>
        <v/>
      </c>
    </row>
    <row r="33">
      <c r="A33" s="21" t="n"/>
      <c r="C33" s="21" t="n"/>
      <c r="D33" s="20">
        <f>IF(AND($C33="x",$A33&lt;&gt;""),$A33,"")</f>
        <v/>
      </c>
    </row>
    <row r="34">
      <c r="A34" s="21" t="n"/>
      <c r="C34" s="21" t="n"/>
      <c r="D34" s="20">
        <f>IF(AND($C34="x",$A34&lt;&gt;""),$A34,"")</f>
        <v/>
      </c>
    </row>
    <row r="35">
      <c r="A35" s="21" t="n"/>
      <c r="C35" s="21" t="n"/>
      <c r="D35" s="20">
        <f>IF(AND($C35="x",$A35&lt;&gt;""),$A35,"")</f>
        <v/>
      </c>
    </row>
    <row r="36">
      <c r="A36" s="21" t="n"/>
      <c r="C36" s="21" t="n"/>
      <c r="D36" s="20">
        <f>IF(AND($C36="x",$A36&lt;&gt;""),$A36,"")</f>
        <v/>
      </c>
    </row>
    <row r="37">
      <c r="A37" s="21" t="n"/>
      <c r="C37" s="21" t="n"/>
      <c r="D37" s="20">
        <f>IF(AND($C37="x",$A37&lt;&gt;""),$A37,"")</f>
        <v/>
      </c>
    </row>
    <row r="38">
      <c r="A38" s="21" t="n"/>
      <c r="C38" s="21" t="n"/>
      <c r="D38" s="20">
        <f>IF(AND($C38="x",$A38&lt;&gt;""),$A38,"")</f>
        <v/>
      </c>
    </row>
    <row r="39">
      <c r="A39" s="21" t="n"/>
      <c r="C39" s="21" t="n"/>
      <c r="D39" s="20">
        <f>IF(AND($C39="x",$A39&lt;&gt;""),$A39,"")</f>
        <v/>
      </c>
    </row>
    <row r="40">
      <c r="A40" s="21" t="n"/>
      <c r="C40" s="21" t="n"/>
      <c r="D40" s="20">
        <f>IF(AND($C40="x",$A40&lt;&gt;""),$A40,"")</f>
        <v/>
      </c>
    </row>
    <row r="41">
      <c r="A41" s="21" t="n"/>
      <c r="C41" s="21" t="n"/>
      <c r="D41" s="20">
        <f>IF(AND($C41="x",$A41&lt;&gt;""),$A41,"")</f>
        <v/>
      </c>
    </row>
    <row r="42">
      <c r="A42" s="21" t="n"/>
      <c r="C42" s="21" t="n"/>
      <c r="D42" s="20">
        <f>IF(AND($C42="x",$A42&lt;&gt;""),$A42,"")</f>
        <v/>
      </c>
    </row>
    <row r="43">
      <c r="A43" s="21" t="n"/>
      <c r="C43" s="21" t="n"/>
      <c r="D43" s="20">
        <f>IF(AND($C43="x",$A43&lt;&gt;""),$A43,"")</f>
        <v/>
      </c>
    </row>
    <row r="44">
      <c r="A44" s="21" t="n"/>
      <c r="C44" s="21" t="n"/>
      <c r="D44" s="20">
        <f>IF(AND($C44="x",$A44&lt;&gt;""),$A44,"")</f>
        <v/>
      </c>
    </row>
    <row r="45">
      <c r="A45" s="21" t="n"/>
      <c r="C45" s="21" t="n"/>
      <c r="D45" s="20">
        <f>IF(AND($C45="x",$A45&lt;&gt;""),$A45,"")</f>
        <v/>
      </c>
    </row>
    <row r="46">
      <c r="A46" s="21" t="n"/>
      <c r="C46" s="21" t="n"/>
      <c r="D46" s="20">
        <f>IF(AND($C46="x",$A46&lt;&gt;""),$A46,"")</f>
        <v/>
      </c>
    </row>
    <row r="47">
      <c r="A47" s="21" t="n"/>
      <c r="C47" s="21" t="n"/>
      <c r="D47" s="20">
        <f>IF(AND($C47="x",$A47&lt;&gt;""),$A47,"")</f>
        <v/>
      </c>
    </row>
    <row r="48">
      <c r="A48" s="21" t="n"/>
      <c r="C48" s="21" t="n"/>
      <c r="D48" s="20">
        <f>IF(AND($C48="x",$A48&lt;&gt;""),$A48,"")</f>
        <v/>
      </c>
    </row>
    <row r="49">
      <c r="A49" s="21" t="n"/>
      <c r="C49" s="21" t="n"/>
      <c r="D49" s="20">
        <f>IF(AND($C49="x",$A49&lt;&gt;""),$A49,"")</f>
        <v/>
      </c>
    </row>
    <row r="50">
      <c r="A50" s="21" t="n"/>
      <c r="C50" s="21" t="n"/>
      <c r="D50" s="20">
        <f>IF(AND($C50="x",$A50&lt;&gt;""),$A50,"")</f>
        <v/>
      </c>
    </row>
    <row r="51">
      <c r="A51" s="21" t="n"/>
      <c r="C51" s="21" t="n"/>
      <c r="D51" s="20">
        <f>IF(AND($C51="x",$A51&lt;&gt;""),$A51,"")</f>
        <v/>
      </c>
    </row>
    <row r="52">
      <c r="A52" s="21" t="n"/>
      <c r="C52" s="21" t="n"/>
      <c r="D52" s="20">
        <f>IF(AND($C52="x",$A52&lt;&gt;""),$A52,"")</f>
        <v/>
      </c>
    </row>
    <row r="53">
      <c r="A53" s="21" t="n"/>
      <c r="C53" s="21" t="n"/>
      <c r="D53" s="20">
        <f>IF(AND($C53="x",$A53&lt;&gt;""),$A53,"")</f>
        <v/>
      </c>
    </row>
    <row r="54">
      <c r="A54" s="21" t="n"/>
      <c r="C54" s="21" t="n"/>
      <c r="D54" s="20">
        <f>IF(AND($C54="x",$A54&lt;&gt;""),$A54,"")</f>
        <v/>
      </c>
    </row>
    <row r="55">
      <c r="A55" s="21" t="n"/>
      <c r="C55" s="21" t="n"/>
      <c r="D55" s="20">
        <f>IF(AND($C55="x",$A55&lt;&gt;""),$A55,"")</f>
        <v/>
      </c>
    </row>
    <row r="56">
      <c r="A56" s="21" t="n"/>
      <c r="C56" s="21" t="n"/>
      <c r="D56" s="20">
        <f>IF(AND($C56="x",$A56&lt;&gt;""),$A56,"")</f>
        <v/>
      </c>
    </row>
    <row r="57">
      <c r="A57" s="21" t="n"/>
      <c r="C57" s="21" t="n"/>
      <c r="D57" s="20">
        <f>IF(AND($C57="x",$A57&lt;&gt;""),$A57,"")</f>
        <v/>
      </c>
    </row>
    <row r="58">
      <c r="A58" s="21" t="n"/>
      <c r="C58" s="21" t="n"/>
      <c r="D58" s="20">
        <f>IF(AND($C58="x",$A58&lt;&gt;""),$A58,"")</f>
        <v/>
      </c>
    </row>
    <row r="59">
      <c r="A59" s="21" t="n"/>
      <c r="C59" s="21" t="n"/>
      <c r="D59" s="20">
        <f>IF(AND($C59="x",$A59&lt;&gt;""),$A59,"")</f>
        <v/>
      </c>
    </row>
    <row r="60">
      <c r="A60" s="21" t="n"/>
      <c r="C60" s="21" t="n"/>
      <c r="D60" s="20">
        <f>IF(AND($C60="x",$A60&lt;&gt;""),$A60,"")</f>
        <v/>
      </c>
    </row>
    <row r="61">
      <c r="A61" s="21" t="n"/>
      <c r="C61" s="21" t="n"/>
      <c r="D61" s="20">
        <f>IF(AND($C61="x",$A61&lt;&gt;""),$A61,"")</f>
        <v/>
      </c>
    </row>
    <row r="62">
      <c r="A62" s="21" t="n"/>
      <c r="C62" s="21" t="n"/>
      <c r="D62" s="20">
        <f>IF(AND($C62="x",$A62&lt;&gt;""),$A62,"")</f>
        <v/>
      </c>
    </row>
    <row r="63">
      <c r="A63" s="21" t="n"/>
      <c r="C63" s="21" t="n"/>
      <c r="D63" s="20">
        <f>IF(AND($C63="x",$A63&lt;&gt;""),$A63,"")</f>
        <v/>
      </c>
    </row>
    <row r="64">
      <c r="A64" s="21" t="n"/>
      <c r="C64" s="21" t="n"/>
      <c r="D64" s="20">
        <f>IF(AND($C64="x",$A64&lt;&gt;""),$A64,"")</f>
        <v/>
      </c>
    </row>
    <row r="65">
      <c r="A65" s="21" t="n"/>
      <c r="C65" s="21" t="n"/>
      <c r="D65" s="20">
        <f>IF(AND($C65="x",$A65&lt;&gt;""),$A65,"")</f>
        <v/>
      </c>
    </row>
    <row r="66">
      <c r="A66" s="21" t="n"/>
      <c r="C66" s="21" t="n"/>
      <c r="D66" s="20">
        <f>IF(AND($C66="x",$A66&lt;&gt;""),$A66,"")</f>
        <v/>
      </c>
    </row>
    <row r="67">
      <c r="A67" s="21" t="n"/>
      <c r="C67" s="21" t="n"/>
      <c r="D67" s="20">
        <f>IF(AND($C67="x",$A67&lt;&gt;""),$A67,"")</f>
        <v/>
      </c>
    </row>
    <row r="68">
      <c r="A68" s="21" t="n"/>
      <c r="C68" s="21" t="n"/>
      <c r="D68" s="20">
        <f>IF(AND($C68="x",$A68&lt;&gt;""),$A68,"")</f>
        <v/>
      </c>
    </row>
    <row r="69">
      <c r="A69" s="21" t="n"/>
      <c r="C69" s="21" t="n"/>
      <c r="D69" s="20">
        <f>IF(AND($C69="x",$A69&lt;&gt;""),$A69,"")</f>
        <v/>
      </c>
    </row>
    <row r="70">
      <c r="A70" s="21" t="n"/>
      <c r="C70" s="21" t="n"/>
      <c r="D70" s="20">
        <f>IF(AND($C70="x",$A70&lt;&gt;""),$A70,"")</f>
        <v/>
      </c>
    </row>
    <row r="71">
      <c r="A71" s="21" t="n"/>
      <c r="C71" s="21" t="n"/>
      <c r="D71" s="20">
        <f>IF(AND($C71="x",$A71&lt;&gt;""),$A71,"")</f>
        <v/>
      </c>
    </row>
    <row r="72">
      <c r="A72" s="21" t="n"/>
      <c r="C72" s="21" t="n"/>
      <c r="D72" s="20">
        <f>IF(AND($C72="x",$A72&lt;&gt;""),$A72,"")</f>
        <v/>
      </c>
    </row>
    <row r="73">
      <c r="A73" s="21" t="n"/>
      <c r="C73" s="21" t="n"/>
      <c r="D73" s="20">
        <f>IF(AND($C73="x",$A73&lt;&gt;""),$A73,"")</f>
        <v/>
      </c>
    </row>
    <row r="74">
      <c r="A74" s="21" t="n"/>
      <c r="C74" s="21" t="n"/>
      <c r="D74" s="20">
        <f>IF(AND($C74="x",$A74&lt;&gt;""),$A74,"")</f>
        <v/>
      </c>
    </row>
    <row r="75">
      <c r="A75" s="21" t="n"/>
      <c r="C75" s="21" t="n"/>
      <c r="D75" s="20">
        <f>IF(AND($C75="x",$A75&lt;&gt;""),$A75,"")</f>
        <v/>
      </c>
    </row>
    <row r="76">
      <c r="A76" s="21" t="n"/>
      <c r="C76" s="21" t="n"/>
      <c r="D76" s="20">
        <f>IF(AND($C76="x",$A76&lt;&gt;""),$A76,"")</f>
        <v/>
      </c>
    </row>
    <row r="77">
      <c r="A77" s="21" t="n"/>
      <c r="C77" s="21" t="n"/>
      <c r="D77" s="20">
        <f>IF(AND($C77="x",$A77&lt;&gt;""),$A77,"")</f>
        <v/>
      </c>
    </row>
    <row r="78">
      <c r="A78" s="21" t="n"/>
      <c r="C78" s="21" t="n"/>
      <c r="D78" s="20">
        <f>IF(AND($C78="x",$A78&lt;&gt;""),$A78,"")</f>
        <v/>
      </c>
    </row>
    <row r="79">
      <c r="A79" s="21" t="n"/>
      <c r="C79" s="21" t="n"/>
      <c r="D79" s="20">
        <f>IF(AND($C79="x",$A79&lt;&gt;""),$A79,"")</f>
        <v/>
      </c>
    </row>
    <row r="80">
      <c r="A80" s="21" t="n"/>
      <c r="C80" s="21" t="n"/>
      <c r="D80" s="20">
        <f>IF(AND($C80="x",$A80&lt;&gt;""),$A80,"")</f>
        <v/>
      </c>
    </row>
  </sheetData>
  <mergeCells count="2">
    <mergeCell ref="B8:D8"/>
    <mergeCell ref="A22:C22"/>
  </mergeCells>
  <dataValidations count="1">
    <dataValidation sqref="C12 C13 C14 C15 C16 C17 C18 C19 C20 C21 C22 C23 C24 C25 C26 C27 C28 C29 C30 C31 C32 C33 C34 C35 C36 C37 C38 C39 C40 C41 C42 C43 C44 C45 C46 C47 C48 C49 C50 C51 C52 C53 C54 C55 C56 C57 C58 C59 C60 C61 C62 C63 C64 C65 C66 C67 C68 C69 C70 C71 C72 C73 C74 C75 C76 C77 C78 C79 C80" showDropDown="0" showInputMessage="0" showErrorMessage="1" allowBlank="1" errorTitle="Alleen x" error="Zet een x om het veld op te nemen, of laat de cel leeg." type="list">
      <formula1>"x"</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0"/>
  <sheetViews>
    <sheetView workbookViewId="0">
      <pane ySplit="11" topLeftCell="A12" activePane="bottomLeft" state="frozen"/>
      <selection pane="bottomLeft" activeCell="A1" sqref="A1"/>
    </sheetView>
  </sheetViews>
  <sheetFormatPr baseColWidth="8" defaultRowHeight="15"/>
  <cols>
    <col width="44" customWidth="1" min="1" max="1"/>
    <col width="62" customWidth="1" min="2" max="2"/>
    <col width="13" customWidth="1" min="3" max="3"/>
    <col hidden="1" width="10" customWidth="1" min="4" max="4"/>
  </cols>
  <sheetData>
    <row r="1">
      <c r="A1" s="13" t="inlineStr">
        <is>
          <t>Windsor-export: Meta Ads asset video</t>
        </is>
      </c>
      <c r="C1" s="14" t="inlineStr">
        <is>
          <t>Status: Optioneel (anders live) · Ads → Meta creatieve varianten</t>
        </is>
      </c>
    </row>
    <row r="2">
      <c r="A2" s="3" t="inlineStr">
        <is>
          <t>Connector</t>
        </is>
      </c>
      <c r="B2" s="6" t="inlineStr">
        <is>
          <t>facebook</t>
        </is>
      </c>
    </row>
    <row r="3">
      <c r="A3" s="3" t="inlineStr">
        <is>
          <t>Account-id (uit Instellingen)</t>
        </is>
      </c>
      <c r="B3" s="15">
        <f>Instellingen!$B$11</f>
        <v/>
      </c>
    </row>
    <row r="4">
      <c r="A4" s="3" t="inlineStr">
        <is>
          <t>Taaknaam (Task name)</t>
        </is>
      </c>
      <c r="B4" s="15">
        <f>"Windsor - Sheets - Meta Ads asset video - "&amp;Instellingen!$B$3</f>
        <v/>
      </c>
    </row>
    <row r="5">
      <c r="A5" s="3" t="inlineStr">
        <is>
          <t>Tabnaam (Sheet Name)</t>
        </is>
      </c>
      <c r="B5" s="15">
        <f>"Meta Ads - asset video - "&amp;Instellingen!$B$3&amp;" - windsor.ai"</f>
        <v/>
      </c>
      <c r="C5" s="12" t="inlineStr">
        <is>
          <t>Herkenning in api/_sheetdata.js gaat op bron + niveau in deze naam; hou het voorstel aan.</t>
        </is>
      </c>
    </row>
    <row r="6">
      <c r="A6" s="3" t="inlineStr">
        <is>
          <t>Columns to Match (rows to replace)</t>
        </is>
      </c>
      <c r="B6" s="6" t="inlineStr">
        <is>
          <t>date</t>
        </is>
      </c>
      <c r="C6" s="12" t="inlineStr">
        <is>
          <t>Voorstel; zoals bij de bestaande exports.</t>
        </is>
      </c>
    </row>
    <row r="7">
      <c r="A7" s="3" t="inlineStr">
        <is>
          <t>Schedule</t>
        </is>
      </c>
      <c r="B7" s="6" t="inlineStr">
        <is>
          <t>Daily · 00:00 UTC · Target Cell A1 · Authentication: Google Account</t>
        </is>
      </c>
    </row>
    <row r="8" ht="90" customHeight="1">
      <c r="A8" s="3" t="inlineStr">
        <is>
          <t>Query (gegenereerd — api_key blijft leeg)</t>
        </is>
      </c>
      <c r="B8" s="16">
        <f>"https://connectors.windsor.ai/"&amp;$B$2&amp;"?api_key="&amp;IF(Instellingen!$B$4&lt;&gt;"","&amp;date_preset="&amp;Instellingen!$B$4,"")&amp;"&amp;fields="&amp;_xlfn.TEXTJOIN(",",TRUE,$D$12:$D$80)&amp;IF($B$3&lt;&gt;"","&amp;select_accounts="&amp;$B$3,"")&amp;IF(Instellingen!$B$5&lt;&gt;"","&amp;_field_headers="&amp;Instellingen!$B$5,"")</f>
        <v/>
      </c>
    </row>
    <row r="9">
      <c r="A9" s="3" t="inlineStr">
        <is>
          <t>Aantal velden in de query</t>
        </is>
      </c>
      <c r="B9" s="17">
        <f>COUNTIF($C$12:$C$80,"x")</f>
        <v/>
      </c>
    </row>
    <row r="11">
      <c r="A11" s="8" t="inlineStr">
        <is>
          <t>Veld (Windsor-id)</t>
        </is>
      </c>
      <c r="B11" s="8" t="inlineStr">
        <is>
          <t>Gebruik in het dashboard</t>
        </is>
      </c>
      <c r="C11" s="8" t="inlineStr">
        <is>
          <t>Opnemen (x)</t>
        </is>
      </c>
      <c r="D11" s="8" t="inlineStr">
        <is>
          <t>→ query</t>
        </is>
      </c>
    </row>
    <row r="12">
      <c r="A12" s="9" t="inlineStr">
        <is>
          <t>date</t>
        </is>
      </c>
      <c r="B12" s="18" t="inlineStr">
        <is>
          <t>Datumkolom: 'Columns to Match' en periodefilter</t>
        </is>
      </c>
      <c r="C12" s="19" t="inlineStr">
        <is>
          <t>x</t>
        </is>
      </c>
      <c r="D12" s="20">
        <f>IF(AND($C12="x",$A12&lt;&gt;""),$A12,"")</f>
        <v/>
      </c>
    </row>
    <row r="13">
      <c r="A13" s="9" t="inlineStr">
        <is>
          <t>account_id</t>
        </is>
      </c>
      <c r="B13" s="18" t="inlineStr">
        <is>
          <t>Accountcontrole: alleen rijen van dit account tellen mee</t>
        </is>
      </c>
      <c r="C13" s="19" t="inlineStr">
        <is>
          <t>x</t>
        </is>
      </c>
      <c r="D13" s="20">
        <f>IF(AND($C13="x",$A13&lt;&gt;""),$A13,"")</f>
        <v/>
      </c>
    </row>
    <row r="14">
      <c r="A14" s="9" t="inlineStr">
        <is>
          <t>account_name</t>
        </is>
      </c>
      <c r="B14" s="18" t="inlineStr">
        <is>
          <t>Idem, leesbaar</t>
        </is>
      </c>
      <c r="C14" s="19" t="inlineStr">
        <is>
          <t>x</t>
        </is>
      </c>
      <c r="D14" s="20">
        <f>IF(AND($C14="x",$A14&lt;&gt;""),$A14,"")</f>
        <v/>
      </c>
    </row>
    <row r="15">
      <c r="A15" s="9" t="inlineStr">
        <is>
          <t>ad_id</t>
        </is>
      </c>
      <c r="B15" s="18" t="inlineStr">
        <is>
          <t>Advertentie</t>
        </is>
      </c>
      <c r="C15" s="19" t="inlineStr">
        <is>
          <t>x</t>
        </is>
      </c>
      <c r="D15" s="20">
        <f>IF(AND($C15="x",$A15&lt;&gt;""),$A15,"")</f>
        <v/>
      </c>
    </row>
    <row r="16">
      <c r="A16" s="9" t="inlineStr">
        <is>
          <t>video_asset_video_name</t>
        </is>
      </c>
      <c r="B16" s="18" t="inlineStr">
        <is>
          <t>Videovariant — één asset-breakdown per export</t>
        </is>
      </c>
      <c r="C16" s="19" t="inlineStr">
        <is>
          <t>x</t>
        </is>
      </c>
      <c r="D16" s="20">
        <f>IF(AND($C16="x",$A16&lt;&gt;""),$A16,"")</f>
        <v/>
      </c>
    </row>
    <row r="17">
      <c r="A17" s="9" t="inlineStr">
        <is>
          <t>impressions</t>
        </is>
      </c>
      <c r="B17" s="18" t="inlineStr">
        <is>
          <t>Vertoningen</t>
        </is>
      </c>
      <c r="C17" s="19" t="inlineStr">
        <is>
          <t>x</t>
        </is>
      </c>
      <c r="D17" s="20">
        <f>IF(AND($C17="x",$A17&lt;&gt;""),$A17,"")</f>
        <v/>
      </c>
    </row>
    <row r="18">
      <c r="A18" s="9" t="inlineStr">
        <is>
          <t>clicks</t>
        </is>
      </c>
      <c r="B18" s="18" t="inlineStr">
        <is>
          <t>Kliks</t>
        </is>
      </c>
      <c r="C18" s="19" t="inlineStr">
        <is>
          <t>x</t>
        </is>
      </c>
      <c r="D18" s="20">
        <f>IF(AND($C18="x",$A18&lt;&gt;""),$A18,"")</f>
        <v/>
      </c>
    </row>
    <row r="19">
      <c r="A19" s="9" t="inlineStr">
        <is>
          <t>spend</t>
        </is>
      </c>
      <c r="B19" s="18" t="inlineStr">
        <is>
          <t>Kosten</t>
        </is>
      </c>
      <c r="C19" s="19" t="inlineStr">
        <is>
          <t>x</t>
        </is>
      </c>
      <c r="D19" s="20">
        <f>IF(AND($C19="x",$A19&lt;&gt;""),$A19,"")</f>
        <v/>
      </c>
    </row>
    <row r="20">
      <c r="A20" s="9" t="inlineStr">
        <is>
          <t>actions_purchase</t>
        </is>
      </c>
      <c r="B20" s="18" t="inlineStr">
        <is>
          <t>Aankopen (Meta kan dit weigeren naast de breakdown; dan weglaten)</t>
        </is>
      </c>
      <c r="C20" s="19" t="inlineStr">
        <is>
          <t>x</t>
        </is>
      </c>
      <c r="D20" s="20">
        <f>IF(AND($C20="x",$A20&lt;&gt;""),$A20,"")</f>
        <v/>
      </c>
    </row>
    <row r="21">
      <c r="A21" s="9" t="inlineStr">
        <is>
          <t>actions_lead</t>
        </is>
      </c>
      <c r="B21" s="18" t="inlineStr">
        <is>
          <t>Leads (idem)</t>
        </is>
      </c>
      <c r="C21" s="19" t="inlineStr">
        <is>
          <t>x</t>
        </is>
      </c>
      <c r="D21" s="20">
        <f>IF(AND($C21="x",$A21&lt;&gt;""),$A21,"")</f>
        <v/>
      </c>
    </row>
    <row r="22">
      <c r="A22" s="14" t="inlineStr">
        <is>
          <t>Eigen veld toevoegen: zet hieronder het Windsor-veld-id in kolom A en een x in kolom C (tot rij 80).</t>
        </is>
      </c>
    </row>
    <row r="23">
      <c r="A23" s="21" t="n"/>
      <c r="C23" s="21" t="n"/>
      <c r="D23" s="20">
        <f>IF(AND($C23="x",$A23&lt;&gt;""),$A23,"")</f>
        <v/>
      </c>
    </row>
    <row r="24">
      <c r="A24" s="21" t="n"/>
      <c r="C24" s="21" t="n"/>
      <c r="D24" s="20">
        <f>IF(AND($C24="x",$A24&lt;&gt;""),$A24,"")</f>
        <v/>
      </c>
    </row>
    <row r="25">
      <c r="A25" s="21" t="n"/>
      <c r="C25" s="21" t="n"/>
      <c r="D25" s="20">
        <f>IF(AND($C25="x",$A25&lt;&gt;""),$A25,"")</f>
        <v/>
      </c>
    </row>
    <row r="26">
      <c r="A26" s="21" t="n"/>
      <c r="C26" s="21" t="n"/>
      <c r="D26" s="20">
        <f>IF(AND($C26="x",$A26&lt;&gt;""),$A26,"")</f>
        <v/>
      </c>
    </row>
    <row r="27">
      <c r="A27" s="21" t="n"/>
      <c r="C27" s="21" t="n"/>
      <c r="D27" s="20">
        <f>IF(AND($C27="x",$A27&lt;&gt;""),$A27,"")</f>
        <v/>
      </c>
    </row>
    <row r="28">
      <c r="A28" s="21" t="n"/>
      <c r="C28" s="21" t="n"/>
      <c r="D28" s="20">
        <f>IF(AND($C28="x",$A28&lt;&gt;""),$A28,"")</f>
        <v/>
      </c>
    </row>
    <row r="29">
      <c r="A29" s="21" t="n"/>
      <c r="C29" s="21" t="n"/>
      <c r="D29" s="20">
        <f>IF(AND($C29="x",$A29&lt;&gt;""),$A29,"")</f>
        <v/>
      </c>
    </row>
    <row r="30">
      <c r="A30" s="21" t="n"/>
      <c r="C30" s="21" t="n"/>
      <c r="D30" s="20">
        <f>IF(AND($C30="x",$A30&lt;&gt;""),$A30,"")</f>
        <v/>
      </c>
    </row>
    <row r="31">
      <c r="A31" s="21" t="n"/>
      <c r="C31" s="21" t="n"/>
      <c r="D31" s="20">
        <f>IF(AND($C31="x",$A31&lt;&gt;""),$A31,"")</f>
        <v/>
      </c>
    </row>
    <row r="32">
      <c r="A32" s="21" t="n"/>
      <c r="C32" s="21" t="n"/>
      <c r="D32" s="20">
        <f>IF(AND($C32="x",$A32&lt;&gt;""),$A32,"")</f>
        <v/>
      </c>
    </row>
    <row r="33">
      <c r="A33" s="21" t="n"/>
      <c r="C33" s="21" t="n"/>
      <c r="D33" s="20">
        <f>IF(AND($C33="x",$A33&lt;&gt;""),$A33,"")</f>
        <v/>
      </c>
    </row>
    <row r="34">
      <c r="A34" s="21" t="n"/>
      <c r="C34" s="21" t="n"/>
      <c r="D34" s="20">
        <f>IF(AND($C34="x",$A34&lt;&gt;""),$A34,"")</f>
        <v/>
      </c>
    </row>
    <row r="35">
      <c r="A35" s="21" t="n"/>
      <c r="C35" s="21" t="n"/>
      <c r="D35" s="20">
        <f>IF(AND($C35="x",$A35&lt;&gt;""),$A35,"")</f>
        <v/>
      </c>
    </row>
    <row r="36">
      <c r="A36" s="21" t="n"/>
      <c r="C36" s="21" t="n"/>
      <c r="D36" s="20">
        <f>IF(AND($C36="x",$A36&lt;&gt;""),$A36,"")</f>
        <v/>
      </c>
    </row>
    <row r="37">
      <c r="A37" s="21" t="n"/>
      <c r="C37" s="21" t="n"/>
      <c r="D37" s="20">
        <f>IF(AND($C37="x",$A37&lt;&gt;""),$A37,"")</f>
        <v/>
      </c>
    </row>
    <row r="38">
      <c r="A38" s="21" t="n"/>
      <c r="C38" s="21" t="n"/>
      <c r="D38" s="20">
        <f>IF(AND($C38="x",$A38&lt;&gt;""),$A38,"")</f>
        <v/>
      </c>
    </row>
    <row r="39">
      <c r="A39" s="21" t="n"/>
      <c r="C39" s="21" t="n"/>
      <c r="D39" s="20">
        <f>IF(AND($C39="x",$A39&lt;&gt;""),$A39,"")</f>
        <v/>
      </c>
    </row>
    <row r="40">
      <c r="A40" s="21" t="n"/>
      <c r="C40" s="21" t="n"/>
      <c r="D40" s="20">
        <f>IF(AND($C40="x",$A40&lt;&gt;""),$A40,"")</f>
        <v/>
      </c>
    </row>
    <row r="41">
      <c r="A41" s="21" t="n"/>
      <c r="C41" s="21" t="n"/>
      <c r="D41" s="20">
        <f>IF(AND($C41="x",$A41&lt;&gt;""),$A41,"")</f>
        <v/>
      </c>
    </row>
    <row r="42">
      <c r="A42" s="21" t="n"/>
      <c r="C42" s="21" t="n"/>
      <c r="D42" s="20">
        <f>IF(AND($C42="x",$A42&lt;&gt;""),$A42,"")</f>
        <v/>
      </c>
    </row>
    <row r="43">
      <c r="A43" s="21" t="n"/>
      <c r="C43" s="21" t="n"/>
      <c r="D43" s="20">
        <f>IF(AND($C43="x",$A43&lt;&gt;""),$A43,"")</f>
        <v/>
      </c>
    </row>
    <row r="44">
      <c r="A44" s="21" t="n"/>
      <c r="C44" s="21" t="n"/>
      <c r="D44" s="20">
        <f>IF(AND($C44="x",$A44&lt;&gt;""),$A44,"")</f>
        <v/>
      </c>
    </row>
    <row r="45">
      <c r="A45" s="21" t="n"/>
      <c r="C45" s="21" t="n"/>
      <c r="D45" s="20">
        <f>IF(AND($C45="x",$A45&lt;&gt;""),$A45,"")</f>
        <v/>
      </c>
    </row>
    <row r="46">
      <c r="A46" s="21" t="n"/>
      <c r="C46" s="21" t="n"/>
      <c r="D46" s="20">
        <f>IF(AND($C46="x",$A46&lt;&gt;""),$A46,"")</f>
        <v/>
      </c>
    </row>
    <row r="47">
      <c r="A47" s="21" t="n"/>
      <c r="C47" s="21" t="n"/>
      <c r="D47" s="20">
        <f>IF(AND($C47="x",$A47&lt;&gt;""),$A47,"")</f>
        <v/>
      </c>
    </row>
    <row r="48">
      <c r="A48" s="21" t="n"/>
      <c r="C48" s="21" t="n"/>
      <c r="D48" s="20">
        <f>IF(AND($C48="x",$A48&lt;&gt;""),$A48,"")</f>
        <v/>
      </c>
    </row>
    <row r="49">
      <c r="A49" s="21" t="n"/>
      <c r="C49" s="21" t="n"/>
      <c r="D49" s="20">
        <f>IF(AND($C49="x",$A49&lt;&gt;""),$A49,"")</f>
        <v/>
      </c>
    </row>
    <row r="50">
      <c r="A50" s="21" t="n"/>
      <c r="C50" s="21" t="n"/>
      <c r="D50" s="20">
        <f>IF(AND($C50="x",$A50&lt;&gt;""),$A50,"")</f>
        <v/>
      </c>
    </row>
    <row r="51">
      <c r="A51" s="21" t="n"/>
      <c r="C51" s="21" t="n"/>
      <c r="D51" s="20">
        <f>IF(AND($C51="x",$A51&lt;&gt;""),$A51,"")</f>
        <v/>
      </c>
    </row>
    <row r="52">
      <c r="A52" s="21" t="n"/>
      <c r="C52" s="21" t="n"/>
      <c r="D52" s="20">
        <f>IF(AND($C52="x",$A52&lt;&gt;""),$A52,"")</f>
        <v/>
      </c>
    </row>
    <row r="53">
      <c r="A53" s="21" t="n"/>
      <c r="C53" s="21" t="n"/>
      <c r="D53" s="20">
        <f>IF(AND($C53="x",$A53&lt;&gt;""),$A53,"")</f>
        <v/>
      </c>
    </row>
    <row r="54">
      <c r="A54" s="21" t="n"/>
      <c r="C54" s="21" t="n"/>
      <c r="D54" s="20">
        <f>IF(AND($C54="x",$A54&lt;&gt;""),$A54,"")</f>
        <v/>
      </c>
    </row>
    <row r="55">
      <c r="A55" s="21" t="n"/>
      <c r="C55" s="21" t="n"/>
      <c r="D55" s="20">
        <f>IF(AND($C55="x",$A55&lt;&gt;""),$A55,"")</f>
        <v/>
      </c>
    </row>
    <row r="56">
      <c r="A56" s="21" t="n"/>
      <c r="C56" s="21" t="n"/>
      <c r="D56" s="20">
        <f>IF(AND($C56="x",$A56&lt;&gt;""),$A56,"")</f>
        <v/>
      </c>
    </row>
    <row r="57">
      <c r="A57" s="21" t="n"/>
      <c r="C57" s="21" t="n"/>
      <c r="D57" s="20">
        <f>IF(AND($C57="x",$A57&lt;&gt;""),$A57,"")</f>
        <v/>
      </c>
    </row>
    <row r="58">
      <c r="A58" s="21" t="n"/>
      <c r="C58" s="21" t="n"/>
      <c r="D58" s="20">
        <f>IF(AND($C58="x",$A58&lt;&gt;""),$A58,"")</f>
        <v/>
      </c>
    </row>
    <row r="59">
      <c r="A59" s="21" t="n"/>
      <c r="C59" s="21" t="n"/>
      <c r="D59" s="20">
        <f>IF(AND($C59="x",$A59&lt;&gt;""),$A59,"")</f>
        <v/>
      </c>
    </row>
    <row r="60">
      <c r="A60" s="21" t="n"/>
      <c r="C60" s="21" t="n"/>
      <c r="D60" s="20">
        <f>IF(AND($C60="x",$A60&lt;&gt;""),$A60,"")</f>
        <v/>
      </c>
    </row>
    <row r="61">
      <c r="A61" s="21" t="n"/>
      <c r="C61" s="21" t="n"/>
      <c r="D61" s="20">
        <f>IF(AND($C61="x",$A61&lt;&gt;""),$A61,"")</f>
        <v/>
      </c>
    </row>
    <row r="62">
      <c r="A62" s="21" t="n"/>
      <c r="C62" s="21" t="n"/>
      <c r="D62" s="20">
        <f>IF(AND($C62="x",$A62&lt;&gt;""),$A62,"")</f>
        <v/>
      </c>
    </row>
    <row r="63">
      <c r="A63" s="21" t="n"/>
      <c r="C63" s="21" t="n"/>
      <c r="D63" s="20">
        <f>IF(AND($C63="x",$A63&lt;&gt;""),$A63,"")</f>
        <v/>
      </c>
    </row>
    <row r="64">
      <c r="A64" s="21" t="n"/>
      <c r="C64" s="21" t="n"/>
      <c r="D64" s="20">
        <f>IF(AND($C64="x",$A64&lt;&gt;""),$A64,"")</f>
        <v/>
      </c>
    </row>
    <row r="65">
      <c r="A65" s="21" t="n"/>
      <c r="C65" s="21" t="n"/>
      <c r="D65" s="20">
        <f>IF(AND($C65="x",$A65&lt;&gt;""),$A65,"")</f>
        <v/>
      </c>
    </row>
    <row r="66">
      <c r="A66" s="21" t="n"/>
      <c r="C66" s="21" t="n"/>
      <c r="D66" s="20">
        <f>IF(AND($C66="x",$A66&lt;&gt;""),$A66,"")</f>
        <v/>
      </c>
    </row>
    <row r="67">
      <c r="A67" s="21" t="n"/>
      <c r="C67" s="21" t="n"/>
      <c r="D67" s="20">
        <f>IF(AND($C67="x",$A67&lt;&gt;""),$A67,"")</f>
        <v/>
      </c>
    </row>
    <row r="68">
      <c r="A68" s="21" t="n"/>
      <c r="C68" s="21" t="n"/>
      <c r="D68" s="20">
        <f>IF(AND($C68="x",$A68&lt;&gt;""),$A68,"")</f>
        <v/>
      </c>
    </row>
    <row r="69">
      <c r="A69" s="21" t="n"/>
      <c r="C69" s="21" t="n"/>
      <c r="D69" s="20">
        <f>IF(AND($C69="x",$A69&lt;&gt;""),$A69,"")</f>
        <v/>
      </c>
    </row>
    <row r="70">
      <c r="A70" s="21" t="n"/>
      <c r="C70" s="21" t="n"/>
      <c r="D70" s="20">
        <f>IF(AND($C70="x",$A70&lt;&gt;""),$A70,"")</f>
        <v/>
      </c>
    </row>
    <row r="71">
      <c r="A71" s="21" t="n"/>
      <c r="C71" s="21" t="n"/>
      <c r="D71" s="20">
        <f>IF(AND($C71="x",$A71&lt;&gt;""),$A71,"")</f>
        <v/>
      </c>
    </row>
    <row r="72">
      <c r="A72" s="21" t="n"/>
      <c r="C72" s="21" t="n"/>
      <c r="D72" s="20">
        <f>IF(AND($C72="x",$A72&lt;&gt;""),$A72,"")</f>
        <v/>
      </c>
    </row>
    <row r="73">
      <c r="A73" s="21" t="n"/>
      <c r="C73" s="21" t="n"/>
      <c r="D73" s="20">
        <f>IF(AND($C73="x",$A73&lt;&gt;""),$A73,"")</f>
        <v/>
      </c>
    </row>
    <row r="74">
      <c r="A74" s="21" t="n"/>
      <c r="C74" s="21" t="n"/>
      <c r="D74" s="20">
        <f>IF(AND($C74="x",$A74&lt;&gt;""),$A74,"")</f>
        <v/>
      </c>
    </row>
    <row r="75">
      <c r="A75" s="21" t="n"/>
      <c r="C75" s="21" t="n"/>
      <c r="D75" s="20">
        <f>IF(AND($C75="x",$A75&lt;&gt;""),$A75,"")</f>
        <v/>
      </c>
    </row>
    <row r="76">
      <c r="A76" s="21" t="n"/>
      <c r="C76" s="21" t="n"/>
      <c r="D76" s="20">
        <f>IF(AND($C76="x",$A76&lt;&gt;""),$A76,"")</f>
        <v/>
      </c>
    </row>
    <row r="77">
      <c r="A77" s="21" t="n"/>
      <c r="C77" s="21" t="n"/>
      <c r="D77" s="20">
        <f>IF(AND($C77="x",$A77&lt;&gt;""),$A77,"")</f>
        <v/>
      </c>
    </row>
    <row r="78">
      <c r="A78" s="21" t="n"/>
      <c r="C78" s="21" t="n"/>
      <c r="D78" s="20">
        <f>IF(AND($C78="x",$A78&lt;&gt;""),$A78,"")</f>
        <v/>
      </c>
    </row>
    <row r="79">
      <c r="A79" s="21" t="n"/>
      <c r="C79" s="21" t="n"/>
      <c r="D79" s="20">
        <f>IF(AND($C79="x",$A79&lt;&gt;""),$A79,"")</f>
        <v/>
      </c>
    </row>
    <row r="80">
      <c r="A80" s="21" t="n"/>
      <c r="C80" s="21" t="n"/>
      <c r="D80" s="20">
        <f>IF(AND($C80="x",$A80&lt;&gt;""),$A80,"")</f>
        <v/>
      </c>
    </row>
  </sheetData>
  <mergeCells count="2">
    <mergeCell ref="B8:D8"/>
    <mergeCell ref="A22:C22"/>
  </mergeCells>
  <dataValidations count="1">
    <dataValidation sqref="C12 C13 C14 C15 C16 C17 C18 C19 C20 C21 C22 C23 C24 C25 C26 C27 C28 C29 C30 C31 C32 C33 C34 C35 C36 C37 C38 C39 C40 C41 C42 C43 C44 C45 C46 C47 C48 C49 C50 C51 C52 C53 C54 C55 C56 C57 C58 C59 C60 C61 C62 C63 C64 C65 C66 C67 C68 C69 C70 C71 C72 C73 C74 C75 C76 C77 C78 C79 C80" showDropDown="0" showInputMessage="0" showErrorMessage="1" allowBlank="1" errorTitle="Alleen x" error="Zet een x om het veld op te nemen, of laat de cel leeg." type="list">
      <formula1>"x"</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80"/>
  <sheetViews>
    <sheetView workbookViewId="0">
      <pane ySplit="11" topLeftCell="A12" activePane="bottomLeft" state="frozen"/>
      <selection pane="bottomLeft" activeCell="A1" sqref="A1"/>
    </sheetView>
  </sheetViews>
  <sheetFormatPr baseColWidth="8" defaultRowHeight="15"/>
  <cols>
    <col width="44" customWidth="1" min="1" max="1"/>
    <col width="62" customWidth="1" min="2" max="2"/>
    <col width="13" customWidth="1" min="3" max="3"/>
    <col hidden="1" width="10" customWidth="1" min="4" max="4"/>
  </cols>
  <sheetData>
    <row r="1">
      <c r="A1" s="13" t="inlineStr">
        <is>
          <t>Windsor-export: GA4 dag</t>
        </is>
      </c>
      <c r="C1" s="14" t="inlineStr">
        <is>
          <t>Status: Aanbevolen · Website (totalen, dagreeks) + ROAS (GA4-omzet) + Doelen</t>
        </is>
      </c>
    </row>
    <row r="2">
      <c r="A2" s="3" t="inlineStr">
        <is>
          <t>Connector</t>
        </is>
      </c>
      <c r="B2" s="6" t="inlineStr">
        <is>
          <t>googleanalytics4</t>
        </is>
      </c>
    </row>
    <row r="3">
      <c r="A3" s="3" t="inlineStr">
        <is>
          <t>Account-id (uit Instellingen)</t>
        </is>
      </c>
      <c r="B3" s="15">
        <f>Instellingen!$B$12</f>
        <v/>
      </c>
    </row>
    <row r="4">
      <c r="A4" s="3" t="inlineStr">
        <is>
          <t>Taaknaam (Task name)</t>
        </is>
      </c>
      <c r="B4" s="15">
        <f>"Windsor - Sheets - GA4 dag - "&amp;Instellingen!$B$3</f>
        <v/>
      </c>
    </row>
    <row r="5">
      <c r="A5" s="3" t="inlineStr">
        <is>
          <t>Tabnaam (Sheet Name)</t>
        </is>
      </c>
      <c r="B5" s="15">
        <f>"Google Analytics 4 - dag - "&amp;Instellingen!$B$3&amp;" - windsor.ai"</f>
        <v/>
      </c>
      <c r="C5" s="12" t="inlineStr">
        <is>
          <t>Herkenning in api/_sheetdata.js gaat op bron + niveau in deze naam; hou het voorstel aan.</t>
        </is>
      </c>
    </row>
    <row r="6">
      <c r="A6" s="3" t="inlineStr">
        <is>
          <t>Columns to Match (rows to replace)</t>
        </is>
      </c>
      <c r="B6" s="6" t="inlineStr">
        <is>
          <t>date</t>
        </is>
      </c>
      <c r="C6" s="12" t="inlineStr">
        <is>
          <t>Voorstel; zoals bij de bestaande exports.</t>
        </is>
      </c>
    </row>
    <row r="7">
      <c r="A7" s="3" t="inlineStr">
        <is>
          <t>Schedule</t>
        </is>
      </c>
      <c r="B7" s="6" t="inlineStr">
        <is>
          <t>Daily · 00:00 UTC · Target Cell A1 · Authentication: Google Account</t>
        </is>
      </c>
    </row>
    <row r="8" ht="90" customHeight="1">
      <c r="A8" s="3" t="inlineStr">
        <is>
          <t>Query (gegenereerd — api_key blijft leeg)</t>
        </is>
      </c>
      <c r="B8" s="16">
        <f>"https://connectors.windsor.ai/"&amp;$B$2&amp;"?api_key="&amp;IF(Instellingen!$B$4&lt;&gt;"","&amp;date_preset="&amp;Instellingen!$B$4,"")&amp;"&amp;fields="&amp;_xlfn.TEXTJOIN(",",TRUE,$D$12:$D$80)&amp;IF($B$3&lt;&gt;"","&amp;select_accounts="&amp;$B$3,"")&amp;IF(Instellingen!$B$5&lt;&gt;"","&amp;_field_headers="&amp;Instellingen!$B$5,"")</f>
        <v/>
      </c>
    </row>
    <row r="9">
      <c r="A9" s="3" t="inlineStr">
        <is>
          <t>Aantal velden in de query</t>
        </is>
      </c>
      <c r="B9" s="17">
        <f>COUNTIF($C$12:$C$80,"x")</f>
        <v/>
      </c>
    </row>
    <row r="11">
      <c r="A11" s="8" t="inlineStr">
        <is>
          <t>Veld (Windsor-id)</t>
        </is>
      </c>
      <c r="B11" s="8" t="inlineStr">
        <is>
          <t>Gebruik in het dashboard</t>
        </is>
      </c>
      <c r="C11" s="8" t="inlineStr">
        <is>
          <t>Opnemen (x)</t>
        </is>
      </c>
      <c r="D11" s="8" t="inlineStr">
        <is>
          <t>→ query</t>
        </is>
      </c>
    </row>
    <row r="12">
      <c r="A12" s="9" t="inlineStr">
        <is>
          <t>date</t>
        </is>
      </c>
      <c r="B12" s="18" t="inlineStr">
        <is>
          <t>Datumkolom: 'Columns to Match' en periodefilter</t>
        </is>
      </c>
      <c r="C12" s="19" t="inlineStr">
        <is>
          <t>x</t>
        </is>
      </c>
      <c r="D12" s="20">
        <f>IF(AND($C12="x",$A12&lt;&gt;""),$A12,"")</f>
        <v/>
      </c>
    </row>
    <row r="13">
      <c r="A13" s="9" t="inlineStr">
        <is>
          <t>account_id</t>
        </is>
      </c>
      <c r="B13" s="18" t="inlineStr">
        <is>
          <t>Accountcontrole: alleen rijen van dit account tellen mee</t>
        </is>
      </c>
      <c r="C13" s="19" t="inlineStr">
        <is>
          <t>x</t>
        </is>
      </c>
      <c r="D13" s="20">
        <f>IF(AND($C13="x",$A13&lt;&gt;""),$A13,"")</f>
        <v/>
      </c>
    </row>
    <row r="14">
      <c r="A14" s="9" t="inlineStr">
        <is>
          <t>account_name</t>
        </is>
      </c>
      <c r="B14" s="18" t="inlineStr">
        <is>
          <t>Idem, leesbaar</t>
        </is>
      </c>
      <c r="C14" s="19" t="inlineStr">
        <is>
          <t>x</t>
        </is>
      </c>
      <c r="D14" s="20">
        <f>IF(AND($C14="x",$A14&lt;&gt;""),$A14,"")</f>
        <v/>
      </c>
    </row>
    <row r="15">
      <c r="A15" s="9" t="inlineStr">
        <is>
          <t>sessions</t>
        </is>
      </c>
      <c r="B15" s="18" t="inlineStr">
        <is>
          <t>Sessies</t>
        </is>
      </c>
      <c r="C15" s="19" t="inlineStr">
        <is>
          <t>x</t>
        </is>
      </c>
      <c r="D15" s="20">
        <f>IF(AND($C15="x",$A15&lt;&gt;""),$A15,"")</f>
        <v/>
      </c>
    </row>
    <row r="16">
      <c r="A16" s="9" t="inlineStr">
        <is>
          <t>totalusers</t>
        </is>
      </c>
      <c r="B16" s="18" t="inlineStr">
        <is>
          <t>Gebruikers (kop 'Total users'; niet optelbaar over dagen → UI toont nieuwe gebruikers)</t>
        </is>
      </c>
      <c r="C16" s="19" t="inlineStr">
        <is>
          <t>x</t>
        </is>
      </c>
      <c r="D16" s="20">
        <f>IF(AND($C16="x",$A16&lt;&gt;""),$A16,"")</f>
        <v/>
      </c>
    </row>
    <row r="17">
      <c r="A17" s="9" t="inlineStr">
        <is>
          <t>newusers</t>
        </is>
      </c>
      <c r="B17" s="18" t="inlineStr">
        <is>
          <t>Nieuwe gebruikers</t>
        </is>
      </c>
      <c r="C17" s="19" t="inlineStr">
        <is>
          <t>x</t>
        </is>
      </c>
      <c r="D17" s="20">
        <f>IF(AND($C17="x",$A17&lt;&gt;""),$A17,"")</f>
        <v/>
      </c>
    </row>
    <row r="18">
      <c r="A18" s="9" t="inlineStr">
        <is>
          <t>engaged_sessions</t>
        </is>
      </c>
      <c r="B18" s="18" t="inlineStr">
        <is>
          <t>Betrokken sessies</t>
        </is>
      </c>
      <c r="C18" s="19" t="inlineStr">
        <is>
          <t>x</t>
        </is>
      </c>
      <c r="D18" s="20">
        <f>IF(AND($C18="x",$A18&lt;&gt;""),$A18,"")</f>
        <v/>
      </c>
    </row>
    <row r="19">
      <c r="A19" s="9" t="inlineStr">
        <is>
          <t>screen_page_views</t>
        </is>
      </c>
      <c r="B19" s="18" t="inlineStr">
        <is>
          <t>Weergaven (kop 'Views')</t>
        </is>
      </c>
      <c r="C19" s="19" t="inlineStr">
        <is>
          <t>x</t>
        </is>
      </c>
      <c r="D19" s="20">
        <f>IF(AND($C19="x",$A19&lt;&gt;""),$A19,"")</f>
        <v/>
      </c>
    </row>
    <row r="20">
      <c r="A20" s="9" t="inlineStr">
        <is>
          <t>user_engagement_duration</t>
        </is>
      </c>
      <c r="B20" s="18" t="inlineStr">
        <is>
          <t>Betrokkenheidsduur</t>
        </is>
      </c>
      <c r="C20" s="19" t="inlineStr">
        <is>
          <t>x</t>
        </is>
      </c>
      <c r="D20" s="20">
        <f>IF(AND($C20="x",$A20&lt;&gt;""),$A20,"")</f>
        <v/>
      </c>
    </row>
    <row r="21">
      <c r="A21" s="9" t="inlineStr">
        <is>
          <t>conversions</t>
        </is>
      </c>
      <c r="B21" s="18" t="inlineStr">
        <is>
          <t>Key events, alle samen</t>
        </is>
      </c>
      <c r="C21" s="19" t="inlineStr">
        <is>
          <t>x</t>
        </is>
      </c>
      <c r="D21" s="20">
        <f>IF(AND($C21="x",$A21&lt;&gt;""),$A21,"")</f>
        <v/>
      </c>
    </row>
    <row r="22">
      <c r="A22" s="9" t="inlineStr">
        <is>
          <t>purchase_revenue</t>
        </is>
      </c>
      <c r="B22" s="18" t="inlineStr">
        <is>
          <t>Omzet (ook ROAS-tab)</t>
        </is>
      </c>
      <c r="C22" s="19" t="inlineStr">
        <is>
          <t>x</t>
        </is>
      </c>
      <c r="D22" s="20">
        <f>IF(AND($C22="x",$A22&lt;&gt;""),$A22,"")</f>
        <v/>
      </c>
    </row>
    <row r="23">
      <c r="A23" s="9" t="inlineStr">
        <is>
          <t>transactions</t>
        </is>
      </c>
      <c r="B23" s="18" t="inlineStr">
        <is>
          <t>Transacties</t>
        </is>
      </c>
      <c r="C23" s="19" t="inlineStr">
        <is>
          <t>x</t>
        </is>
      </c>
      <c r="D23" s="20">
        <f>IF(AND($C23="x",$A23&lt;&gt;""),$A23,"")</f>
        <v/>
      </c>
    </row>
    <row r="24">
      <c r="A24" s="9">
        <f>IF(Instellingen!$B$6&lt;&gt;"","conversions_"&amp;Instellingen!$B$6,"")</f>
        <v/>
      </c>
      <c r="B24" s="18" t="inlineStr">
        <is>
          <t>Hoofddoel per klant (Config 'Conversiedoel'); kop wordt 'Key event count for &lt;event&gt;'</t>
        </is>
      </c>
      <c r="C24" s="19" t="inlineStr">
        <is>
          <t>x</t>
        </is>
      </c>
      <c r="D24" s="20">
        <f>IF(AND($C24="x",$A24&lt;&gt;""),$A24,"")</f>
        <v/>
      </c>
    </row>
    <row r="25">
      <c r="A25" s="14" t="inlineStr">
        <is>
          <t>Eigen veld toevoegen: zet hieronder het Windsor-veld-id in kolom A en een x in kolom C (tot rij 80).</t>
        </is>
      </c>
    </row>
    <row r="26">
      <c r="A26" s="21" t="n"/>
      <c r="C26" s="21" t="n"/>
      <c r="D26" s="20">
        <f>IF(AND($C26="x",$A26&lt;&gt;""),$A26,"")</f>
        <v/>
      </c>
    </row>
    <row r="27">
      <c r="A27" s="21" t="n"/>
      <c r="C27" s="21" t="n"/>
      <c r="D27" s="20">
        <f>IF(AND($C27="x",$A27&lt;&gt;""),$A27,"")</f>
        <v/>
      </c>
    </row>
    <row r="28">
      <c r="A28" s="21" t="n"/>
      <c r="C28" s="21" t="n"/>
      <c r="D28" s="20">
        <f>IF(AND($C28="x",$A28&lt;&gt;""),$A28,"")</f>
        <v/>
      </c>
    </row>
    <row r="29">
      <c r="A29" s="21" t="n"/>
      <c r="C29" s="21" t="n"/>
      <c r="D29" s="20">
        <f>IF(AND($C29="x",$A29&lt;&gt;""),$A29,"")</f>
        <v/>
      </c>
    </row>
    <row r="30">
      <c r="A30" s="21" t="n"/>
      <c r="C30" s="21" t="n"/>
      <c r="D30" s="20">
        <f>IF(AND($C30="x",$A30&lt;&gt;""),$A30,"")</f>
        <v/>
      </c>
    </row>
    <row r="31">
      <c r="A31" s="21" t="n"/>
      <c r="C31" s="21" t="n"/>
      <c r="D31" s="20">
        <f>IF(AND($C31="x",$A31&lt;&gt;""),$A31,"")</f>
        <v/>
      </c>
    </row>
    <row r="32">
      <c r="A32" s="21" t="n"/>
      <c r="C32" s="21" t="n"/>
      <c r="D32" s="20">
        <f>IF(AND($C32="x",$A32&lt;&gt;""),$A32,"")</f>
        <v/>
      </c>
    </row>
    <row r="33">
      <c r="A33" s="21" t="n"/>
      <c r="C33" s="21" t="n"/>
      <c r="D33" s="20">
        <f>IF(AND($C33="x",$A33&lt;&gt;""),$A33,"")</f>
        <v/>
      </c>
    </row>
    <row r="34">
      <c r="A34" s="21" t="n"/>
      <c r="C34" s="21" t="n"/>
      <c r="D34" s="20">
        <f>IF(AND($C34="x",$A34&lt;&gt;""),$A34,"")</f>
        <v/>
      </c>
    </row>
    <row r="35">
      <c r="A35" s="21" t="n"/>
      <c r="C35" s="21" t="n"/>
      <c r="D35" s="20">
        <f>IF(AND($C35="x",$A35&lt;&gt;""),$A35,"")</f>
        <v/>
      </c>
    </row>
    <row r="36">
      <c r="A36" s="21" t="n"/>
      <c r="C36" s="21" t="n"/>
      <c r="D36" s="20">
        <f>IF(AND($C36="x",$A36&lt;&gt;""),$A36,"")</f>
        <v/>
      </c>
    </row>
    <row r="37">
      <c r="A37" s="21" t="n"/>
      <c r="C37" s="21" t="n"/>
      <c r="D37" s="20">
        <f>IF(AND($C37="x",$A37&lt;&gt;""),$A37,"")</f>
        <v/>
      </c>
    </row>
    <row r="38">
      <c r="A38" s="21" t="n"/>
      <c r="C38" s="21" t="n"/>
      <c r="D38" s="20">
        <f>IF(AND($C38="x",$A38&lt;&gt;""),$A38,"")</f>
        <v/>
      </c>
    </row>
    <row r="39">
      <c r="A39" s="21" t="n"/>
      <c r="C39" s="21" t="n"/>
      <c r="D39" s="20">
        <f>IF(AND($C39="x",$A39&lt;&gt;""),$A39,"")</f>
        <v/>
      </c>
    </row>
    <row r="40">
      <c r="A40" s="21" t="n"/>
      <c r="C40" s="21" t="n"/>
      <c r="D40" s="20">
        <f>IF(AND($C40="x",$A40&lt;&gt;""),$A40,"")</f>
        <v/>
      </c>
    </row>
    <row r="41">
      <c r="A41" s="21" t="n"/>
      <c r="C41" s="21" t="n"/>
      <c r="D41" s="20">
        <f>IF(AND($C41="x",$A41&lt;&gt;""),$A41,"")</f>
        <v/>
      </c>
    </row>
    <row r="42">
      <c r="A42" s="21" t="n"/>
      <c r="C42" s="21" t="n"/>
      <c r="D42" s="20">
        <f>IF(AND($C42="x",$A42&lt;&gt;""),$A42,"")</f>
        <v/>
      </c>
    </row>
    <row r="43">
      <c r="A43" s="21" t="n"/>
      <c r="C43" s="21" t="n"/>
      <c r="D43" s="20">
        <f>IF(AND($C43="x",$A43&lt;&gt;""),$A43,"")</f>
        <v/>
      </c>
    </row>
    <row r="44">
      <c r="A44" s="21" t="n"/>
      <c r="C44" s="21" t="n"/>
      <c r="D44" s="20">
        <f>IF(AND($C44="x",$A44&lt;&gt;""),$A44,"")</f>
        <v/>
      </c>
    </row>
    <row r="45">
      <c r="A45" s="21" t="n"/>
      <c r="C45" s="21" t="n"/>
      <c r="D45" s="20">
        <f>IF(AND($C45="x",$A45&lt;&gt;""),$A45,"")</f>
        <v/>
      </c>
    </row>
    <row r="46">
      <c r="A46" s="21" t="n"/>
      <c r="C46" s="21" t="n"/>
      <c r="D46" s="20">
        <f>IF(AND($C46="x",$A46&lt;&gt;""),$A46,"")</f>
        <v/>
      </c>
    </row>
    <row r="47">
      <c r="A47" s="21" t="n"/>
      <c r="C47" s="21" t="n"/>
      <c r="D47" s="20">
        <f>IF(AND($C47="x",$A47&lt;&gt;""),$A47,"")</f>
        <v/>
      </c>
    </row>
    <row r="48">
      <c r="A48" s="21" t="n"/>
      <c r="C48" s="21" t="n"/>
      <c r="D48" s="20">
        <f>IF(AND($C48="x",$A48&lt;&gt;""),$A48,"")</f>
        <v/>
      </c>
    </row>
    <row r="49">
      <c r="A49" s="21" t="n"/>
      <c r="C49" s="21" t="n"/>
      <c r="D49" s="20">
        <f>IF(AND($C49="x",$A49&lt;&gt;""),$A49,"")</f>
        <v/>
      </c>
    </row>
    <row r="50">
      <c r="A50" s="21" t="n"/>
      <c r="C50" s="21" t="n"/>
      <c r="D50" s="20">
        <f>IF(AND($C50="x",$A50&lt;&gt;""),$A50,"")</f>
        <v/>
      </c>
    </row>
    <row r="51">
      <c r="A51" s="21" t="n"/>
      <c r="C51" s="21" t="n"/>
      <c r="D51" s="20">
        <f>IF(AND($C51="x",$A51&lt;&gt;""),$A51,"")</f>
        <v/>
      </c>
    </row>
    <row r="52">
      <c r="A52" s="21" t="n"/>
      <c r="C52" s="21" t="n"/>
      <c r="D52" s="20">
        <f>IF(AND($C52="x",$A52&lt;&gt;""),$A52,"")</f>
        <v/>
      </c>
    </row>
    <row r="53">
      <c r="A53" s="21" t="n"/>
      <c r="C53" s="21" t="n"/>
      <c r="D53" s="20">
        <f>IF(AND($C53="x",$A53&lt;&gt;""),$A53,"")</f>
        <v/>
      </c>
    </row>
    <row r="54">
      <c r="A54" s="21" t="n"/>
      <c r="C54" s="21" t="n"/>
      <c r="D54" s="20">
        <f>IF(AND($C54="x",$A54&lt;&gt;""),$A54,"")</f>
        <v/>
      </c>
    </row>
    <row r="55">
      <c r="A55" s="21" t="n"/>
      <c r="C55" s="21" t="n"/>
      <c r="D55" s="20">
        <f>IF(AND($C55="x",$A55&lt;&gt;""),$A55,"")</f>
        <v/>
      </c>
    </row>
    <row r="56">
      <c r="A56" s="21" t="n"/>
      <c r="C56" s="21" t="n"/>
      <c r="D56" s="20">
        <f>IF(AND($C56="x",$A56&lt;&gt;""),$A56,"")</f>
        <v/>
      </c>
    </row>
    <row r="57">
      <c r="A57" s="21" t="n"/>
      <c r="C57" s="21" t="n"/>
      <c r="D57" s="20">
        <f>IF(AND($C57="x",$A57&lt;&gt;""),$A57,"")</f>
        <v/>
      </c>
    </row>
    <row r="58">
      <c r="A58" s="21" t="n"/>
      <c r="C58" s="21" t="n"/>
      <c r="D58" s="20">
        <f>IF(AND($C58="x",$A58&lt;&gt;""),$A58,"")</f>
        <v/>
      </c>
    </row>
    <row r="59">
      <c r="A59" s="21" t="n"/>
      <c r="C59" s="21" t="n"/>
      <c r="D59" s="20">
        <f>IF(AND($C59="x",$A59&lt;&gt;""),$A59,"")</f>
        <v/>
      </c>
    </row>
    <row r="60">
      <c r="A60" s="21" t="n"/>
      <c r="C60" s="21" t="n"/>
      <c r="D60" s="20">
        <f>IF(AND($C60="x",$A60&lt;&gt;""),$A60,"")</f>
        <v/>
      </c>
    </row>
    <row r="61">
      <c r="A61" s="21" t="n"/>
      <c r="C61" s="21" t="n"/>
      <c r="D61" s="20">
        <f>IF(AND($C61="x",$A61&lt;&gt;""),$A61,"")</f>
        <v/>
      </c>
    </row>
    <row r="62">
      <c r="A62" s="21" t="n"/>
      <c r="C62" s="21" t="n"/>
      <c r="D62" s="20">
        <f>IF(AND($C62="x",$A62&lt;&gt;""),$A62,"")</f>
        <v/>
      </c>
    </row>
    <row r="63">
      <c r="A63" s="21" t="n"/>
      <c r="C63" s="21" t="n"/>
      <c r="D63" s="20">
        <f>IF(AND($C63="x",$A63&lt;&gt;""),$A63,"")</f>
        <v/>
      </c>
    </row>
    <row r="64">
      <c r="A64" s="21" t="n"/>
      <c r="C64" s="21" t="n"/>
      <c r="D64" s="20">
        <f>IF(AND($C64="x",$A64&lt;&gt;""),$A64,"")</f>
        <v/>
      </c>
    </row>
    <row r="65">
      <c r="A65" s="21" t="n"/>
      <c r="C65" s="21" t="n"/>
      <c r="D65" s="20">
        <f>IF(AND($C65="x",$A65&lt;&gt;""),$A65,"")</f>
        <v/>
      </c>
    </row>
    <row r="66">
      <c r="A66" s="21" t="n"/>
      <c r="C66" s="21" t="n"/>
      <c r="D66" s="20">
        <f>IF(AND($C66="x",$A66&lt;&gt;""),$A66,"")</f>
        <v/>
      </c>
    </row>
    <row r="67">
      <c r="A67" s="21" t="n"/>
      <c r="C67" s="21" t="n"/>
      <c r="D67" s="20">
        <f>IF(AND($C67="x",$A67&lt;&gt;""),$A67,"")</f>
        <v/>
      </c>
    </row>
    <row r="68">
      <c r="A68" s="21" t="n"/>
      <c r="C68" s="21" t="n"/>
      <c r="D68" s="20">
        <f>IF(AND($C68="x",$A68&lt;&gt;""),$A68,"")</f>
        <v/>
      </c>
    </row>
    <row r="69">
      <c r="A69" s="21" t="n"/>
      <c r="C69" s="21" t="n"/>
      <c r="D69" s="20">
        <f>IF(AND($C69="x",$A69&lt;&gt;""),$A69,"")</f>
        <v/>
      </c>
    </row>
    <row r="70">
      <c r="A70" s="21" t="n"/>
      <c r="C70" s="21" t="n"/>
      <c r="D70" s="20">
        <f>IF(AND($C70="x",$A70&lt;&gt;""),$A70,"")</f>
        <v/>
      </c>
    </row>
    <row r="71">
      <c r="A71" s="21" t="n"/>
      <c r="C71" s="21" t="n"/>
      <c r="D71" s="20">
        <f>IF(AND($C71="x",$A71&lt;&gt;""),$A71,"")</f>
        <v/>
      </c>
    </row>
    <row r="72">
      <c r="A72" s="21" t="n"/>
      <c r="C72" s="21" t="n"/>
      <c r="D72" s="20">
        <f>IF(AND($C72="x",$A72&lt;&gt;""),$A72,"")</f>
        <v/>
      </c>
    </row>
    <row r="73">
      <c r="A73" s="21" t="n"/>
      <c r="C73" s="21" t="n"/>
      <c r="D73" s="20">
        <f>IF(AND($C73="x",$A73&lt;&gt;""),$A73,"")</f>
        <v/>
      </c>
    </row>
    <row r="74">
      <c r="A74" s="21" t="n"/>
      <c r="C74" s="21" t="n"/>
      <c r="D74" s="20">
        <f>IF(AND($C74="x",$A74&lt;&gt;""),$A74,"")</f>
        <v/>
      </c>
    </row>
    <row r="75">
      <c r="A75" s="21" t="n"/>
      <c r="C75" s="21" t="n"/>
      <c r="D75" s="20">
        <f>IF(AND($C75="x",$A75&lt;&gt;""),$A75,"")</f>
        <v/>
      </c>
    </row>
    <row r="76">
      <c r="A76" s="21" t="n"/>
      <c r="C76" s="21" t="n"/>
      <c r="D76" s="20">
        <f>IF(AND($C76="x",$A76&lt;&gt;""),$A76,"")</f>
        <v/>
      </c>
    </row>
    <row r="77">
      <c r="A77" s="21" t="n"/>
      <c r="C77" s="21" t="n"/>
      <c r="D77" s="20">
        <f>IF(AND($C77="x",$A77&lt;&gt;""),$A77,"")</f>
        <v/>
      </c>
    </row>
    <row r="78">
      <c r="A78" s="21" t="n"/>
      <c r="C78" s="21" t="n"/>
      <c r="D78" s="20">
        <f>IF(AND($C78="x",$A78&lt;&gt;""),$A78,"")</f>
        <v/>
      </c>
    </row>
    <row r="79">
      <c r="A79" s="21" t="n"/>
      <c r="C79" s="21" t="n"/>
      <c r="D79" s="20">
        <f>IF(AND($C79="x",$A79&lt;&gt;""),$A79,"")</f>
        <v/>
      </c>
    </row>
    <row r="80">
      <c r="A80" s="21" t="n"/>
      <c r="C80" s="21" t="n"/>
      <c r="D80" s="20">
        <f>IF(AND($C80="x",$A80&lt;&gt;""),$A80,"")</f>
        <v/>
      </c>
    </row>
  </sheetData>
  <mergeCells count="2">
    <mergeCell ref="A25:C25"/>
    <mergeCell ref="B8:D8"/>
  </mergeCells>
  <dataValidations count="1">
    <dataValidation sqref="C12 C13 C14 C15 C16 C17 C18 C19 C20 C21 C22 C23 C24 C25 C26 C27 C28 C29 C30 C31 C32 C33 C34 C35 C36 C37 C38 C39 C40 C41 C42 C43 C44 C45 C46 C47 C48 C49 C50 C51 C52 C53 C54 C55 C56 C57 C58 C59 C60 C61 C62 C63 C64 C65 C66 C67 C68 C69 C70 C71 C72 C73 C74 C75 C76 C77 C78 C79 C80" showDropDown="0" showInputMessage="0" showErrorMessage="1" allowBlank="1" errorTitle="Alleen x" error="Zet een x om het veld op te nemen, of laat de cel leeg." type="list">
      <formula1>"x"</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0"/>
  <sheetViews>
    <sheetView workbookViewId="0">
      <pane ySplit="11" topLeftCell="A12" activePane="bottomLeft" state="frozen"/>
      <selection pane="bottomLeft" activeCell="A1" sqref="A1"/>
    </sheetView>
  </sheetViews>
  <sheetFormatPr baseColWidth="8" defaultRowHeight="15"/>
  <cols>
    <col width="44" customWidth="1" min="1" max="1"/>
    <col width="62" customWidth="1" min="2" max="2"/>
    <col width="13" customWidth="1" min="3" max="3"/>
    <col hidden="1" width="10" customWidth="1" min="4" max="4"/>
  </cols>
  <sheetData>
    <row r="1">
      <c r="A1" s="13" t="inlineStr">
        <is>
          <t>Windsor-export: GA4 kanaal</t>
        </is>
      </c>
      <c r="C1" s="14" t="inlineStr">
        <is>
          <t>Status: Aanbevolen · Website (donut, bronnen) + ROAS-kanaalsplitsing + AI-verkeer</t>
        </is>
      </c>
    </row>
    <row r="2">
      <c r="A2" s="3" t="inlineStr">
        <is>
          <t>Connector</t>
        </is>
      </c>
      <c r="B2" s="6" t="inlineStr">
        <is>
          <t>googleanalytics4</t>
        </is>
      </c>
    </row>
    <row r="3">
      <c r="A3" s="3" t="inlineStr">
        <is>
          <t>Account-id (uit Instellingen)</t>
        </is>
      </c>
      <c r="B3" s="15">
        <f>Instellingen!$B$12</f>
        <v/>
      </c>
    </row>
    <row r="4">
      <c r="A4" s="3" t="inlineStr">
        <is>
          <t>Taaknaam (Task name)</t>
        </is>
      </c>
      <c r="B4" s="15">
        <f>"Windsor - Sheets - GA4 kanaal - "&amp;Instellingen!$B$3</f>
        <v/>
      </c>
    </row>
    <row r="5">
      <c r="A5" s="3" t="inlineStr">
        <is>
          <t>Tabnaam (Sheet Name)</t>
        </is>
      </c>
      <c r="B5" s="15">
        <f>"Google Analytics 4 - kanaal - "&amp;Instellingen!$B$3&amp;" - windsor.ai"</f>
        <v/>
      </c>
      <c r="C5" s="12" t="inlineStr">
        <is>
          <t>Herkenning in api/_sheetdata.js gaat op bron + niveau in deze naam; hou het voorstel aan.</t>
        </is>
      </c>
    </row>
    <row r="6">
      <c r="A6" s="3" t="inlineStr">
        <is>
          <t>Columns to Match (rows to replace)</t>
        </is>
      </c>
      <c r="B6" s="6" t="inlineStr">
        <is>
          <t>date</t>
        </is>
      </c>
      <c r="C6" s="12" t="inlineStr">
        <is>
          <t>Voorstel; zoals bij de bestaande exports.</t>
        </is>
      </c>
    </row>
    <row r="7">
      <c r="A7" s="3" t="inlineStr">
        <is>
          <t>Schedule</t>
        </is>
      </c>
      <c r="B7" s="6" t="inlineStr">
        <is>
          <t>Daily · 00:00 UTC · Target Cell A1 · Authentication: Google Account</t>
        </is>
      </c>
    </row>
    <row r="8" ht="90" customHeight="1">
      <c r="A8" s="3" t="inlineStr">
        <is>
          <t>Query (gegenereerd — api_key blijft leeg)</t>
        </is>
      </c>
      <c r="B8" s="16">
        <f>"https://connectors.windsor.ai/"&amp;$B$2&amp;"?api_key="&amp;IF(Instellingen!$B$4&lt;&gt;"","&amp;date_preset="&amp;Instellingen!$B$4,"")&amp;"&amp;fields="&amp;_xlfn.TEXTJOIN(",",TRUE,$D$12:$D$80)&amp;IF($B$3&lt;&gt;"","&amp;select_accounts="&amp;$B$3,"")&amp;IF(Instellingen!$B$5&lt;&gt;"","&amp;_field_headers="&amp;Instellingen!$B$5,"")</f>
        <v/>
      </c>
    </row>
    <row r="9">
      <c r="A9" s="3" t="inlineStr">
        <is>
          <t>Aantal velden in de query</t>
        </is>
      </c>
      <c r="B9" s="17">
        <f>COUNTIF($C$12:$C$80,"x")</f>
        <v/>
      </c>
    </row>
    <row r="11">
      <c r="A11" s="8" t="inlineStr">
        <is>
          <t>Veld (Windsor-id)</t>
        </is>
      </c>
      <c r="B11" s="8" t="inlineStr">
        <is>
          <t>Gebruik in het dashboard</t>
        </is>
      </c>
      <c r="C11" s="8" t="inlineStr">
        <is>
          <t>Opnemen (x)</t>
        </is>
      </c>
      <c r="D11" s="8" t="inlineStr">
        <is>
          <t>→ query</t>
        </is>
      </c>
    </row>
    <row r="12">
      <c r="A12" s="9" t="inlineStr">
        <is>
          <t>date</t>
        </is>
      </c>
      <c r="B12" s="18" t="inlineStr">
        <is>
          <t>Datumkolom: 'Columns to Match' en periodefilter</t>
        </is>
      </c>
      <c r="C12" s="19" t="inlineStr">
        <is>
          <t>x</t>
        </is>
      </c>
      <c r="D12" s="20">
        <f>IF(AND($C12="x",$A12&lt;&gt;""),$A12,"")</f>
        <v/>
      </c>
    </row>
    <row r="13">
      <c r="A13" s="9" t="inlineStr">
        <is>
          <t>account_id</t>
        </is>
      </c>
      <c r="B13" s="18" t="inlineStr">
        <is>
          <t>Accountcontrole: alleen rijen van dit account tellen mee</t>
        </is>
      </c>
      <c r="C13" s="19" t="inlineStr">
        <is>
          <t>x</t>
        </is>
      </c>
      <c r="D13" s="20">
        <f>IF(AND($C13="x",$A13&lt;&gt;""),$A13,"")</f>
        <v/>
      </c>
    </row>
    <row r="14">
      <c r="A14" s="9" t="inlineStr">
        <is>
          <t>account_name</t>
        </is>
      </c>
      <c r="B14" s="18" t="inlineStr">
        <is>
          <t>Idem, leesbaar</t>
        </is>
      </c>
      <c r="C14" s="19" t="inlineStr">
        <is>
          <t>x</t>
        </is>
      </c>
      <c r="D14" s="20">
        <f>IF(AND($C14="x",$A14&lt;&gt;""),$A14,"")</f>
        <v/>
      </c>
    </row>
    <row r="15">
      <c r="A15" s="9" t="inlineStr">
        <is>
          <t>session_default_channel_group</t>
        </is>
      </c>
      <c r="B15" s="18" t="inlineStr">
        <is>
          <t>Kanaalgroep (donut)</t>
        </is>
      </c>
      <c r="C15" s="19" t="inlineStr">
        <is>
          <t>x</t>
        </is>
      </c>
      <c r="D15" s="20">
        <f>IF(AND($C15="x",$A15&lt;&gt;""),$A15,"")</f>
        <v/>
      </c>
    </row>
    <row r="16">
      <c r="A16" s="9" t="inlineStr">
        <is>
          <t>session_source_medium</t>
        </is>
      </c>
      <c r="B16" s="18" t="inlineStr">
        <is>
          <t>Bron/medium (Bronnen-tabel én ROAS-kanaalsplitsing én AI-verkeer)</t>
        </is>
      </c>
      <c r="C16" s="19" t="inlineStr">
        <is>
          <t>x</t>
        </is>
      </c>
      <c r="D16" s="20">
        <f>IF(AND($C16="x",$A16&lt;&gt;""),$A16,"")</f>
        <v/>
      </c>
    </row>
    <row r="17">
      <c r="A17" s="9" t="inlineStr">
        <is>
          <t>sessions</t>
        </is>
      </c>
      <c r="B17" s="18" t="inlineStr">
        <is>
          <t>Sessies</t>
        </is>
      </c>
      <c r="C17" s="19" t="inlineStr">
        <is>
          <t>x</t>
        </is>
      </c>
      <c r="D17" s="20">
        <f>IF(AND($C17="x",$A17&lt;&gt;""),$A17,"")</f>
        <v/>
      </c>
    </row>
    <row r="18">
      <c r="A18" s="9" t="inlineStr">
        <is>
          <t>engaged_sessions</t>
        </is>
      </c>
      <c r="B18" s="18" t="inlineStr">
        <is>
          <t>Betrokken sessies</t>
        </is>
      </c>
      <c r="C18" s="19" t="inlineStr">
        <is>
          <t>x</t>
        </is>
      </c>
      <c r="D18" s="20">
        <f>IF(AND($C18="x",$A18&lt;&gt;""),$A18,"")</f>
        <v/>
      </c>
    </row>
    <row r="19">
      <c r="A19" s="9" t="inlineStr">
        <is>
          <t>newusers</t>
        </is>
      </c>
      <c r="B19" s="18" t="inlineStr">
        <is>
          <t>Nieuwe gebruikers</t>
        </is>
      </c>
      <c r="C19" s="19" t="inlineStr">
        <is>
          <t>x</t>
        </is>
      </c>
      <c r="D19" s="20">
        <f>IF(AND($C19="x",$A19&lt;&gt;""),$A19,"")</f>
        <v/>
      </c>
    </row>
    <row r="20">
      <c r="A20" s="9" t="inlineStr">
        <is>
          <t>conversions</t>
        </is>
      </c>
      <c r="B20" s="18" t="inlineStr">
        <is>
          <t>Key events</t>
        </is>
      </c>
      <c r="C20" s="19" t="inlineStr">
        <is>
          <t>x</t>
        </is>
      </c>
      <c r="D20" s="20">
        <f>IF(AND($C20="x",$A20&lt;&gt;""),$A20,"")</f>
        <v/>
      </c>
    </row>
    <row r="21">
      <c r="A21" s="9" t="inlineStr">
        <is>
          <t>purchase_revenue</t>
        </is>
      </c>
      <c r="B21" s="18" t="inlineStr">
        <is>
          <t>Omzet</t>
        </is>
      </c>
      <c r="C21" s="19" t="inlineStr">
        <is>
          <t>x</t>
        </is>
      </c>
      <c r="D21" s="20">
        <f>IF(AND($C21="x",$A21&lt;&gt;""),$A21,"")</f>
        <v/>
      </c>
    </row>
    <row r="22">
      <c r="A22" s="9" t="inlineStr">
        <is>
          <t>transactions</t>
        </is>
      </c>
      <c r="B22" s="18" t="inlineStr">
        <is>
          <t>Transacties</t>
        </is>
      </c>
      <c r="C22" s="19" t="inlineStr">
        <is>
          <t>x</t>
        </is>
      </c>
      <c r="D22" s="20">
        <f>IF(AND($C22="x",$A22&lt;&gt;""),$A22,"")</f>
        <v/>
      </c>
    </row>
    <row r="23">
      <c r="A23" s="9">
        <f>IF(Instellingen!$B$6&lt;&gt;"","conversions_"&amp;Instellingen!$B$6,"")</f>
        <v/>
      </c>
      <c r="B23" s="18" t="inlineStr">
        <is>
          <t>Hoofddoel per klant (Config 'Conversiedoel'); kop wordt 'Key event count for &lt;event&gt;'</t>
        </is>
      </c>
      <c r="C23" s="19" t="inlineStr">
        <is>
          <t>x</t>
        </is>
      </c>
      <c r="D23" s="20">
        <f>IF(AND($C23="x",$A23&lt;&gt;""),$A23,"")</f>
        <v/>
      </c>
    </row>
    <row r="24">
      <c r="A24" s="14" t="inlineStr">
        <is>
          <t>Eigen veld toevoegen: zet hieronder het Windsor-veld-id in kolom A en een x in kolom C (tot rij 80).</t>
        </is>
      </c>
    </row>
    <row r="25">
      <c r="A25" s="21" t="n"/>
      <c r="C25" s="21" t="n"/>
      <c r="D25" s="20">
        <f>IF(AND($C25="x",$A25&lt;&gt;""),$A25,"")</f>
        <v/>
      </c>
    </row>
    <row r="26">
      <c r="A26" s="21" t="n"/>
      <c r="C26" s="21" t="n"/>
      <c r="D26" s="20">
        <f>IF(AND($C26="x",$A26&lt;&gt;""),$A26,"")</f>
        <v/>
      </c>
    </row>
    <row r="27">
      <c r="A27" s="21" t="n"/>
      <c r="C27" s="21" t="n"/>
      <c r="D27" s="20">
        <f>IF(AND($C27="x",$A27&lt;&gt;""),$A27,"")</f>
        <v/>
      </c>
    </row>
    <row r="28">
      <c r="A28" s="21" t="n"/>
      <c r="C28" s="21" t="n"/>
      <c r="D28" s="20">
        <f>IF(AND($C28="x",$A28&lt;&gt;""),$A28,"")</f>
        <v/>
      </c>
    </row>
    <row r="29">
      <c r="A29" s="21" t="n"/>
      <c r="C29" s="21" t="n"/>
      <c r="D29" s="20">
        <f>IF(AND($C29="x",$A29&lt;&gt;""),$A29,"")</f>
        <v/>
      </c>
    </row>
    <row r="30">
      <c r="A30" s="21" t="n"/>
      <c r="C30" s="21" t="n"/>
      <c r="D30" s="20">
        <f>IF(AND($C30="x",$A30&lt;&gt;""),$A30,"")</f>
        <v/>
      </c>
    </row>
    <row r="31">
      <c r="A31" s="21" t="n"/>
      <c r="C31" s="21" t="n"/>
      <c r="D31" s="20">
        <f>IF(AND($C31="x",$A31&lt;&gt;""),$A31,"")</f>
        <v/>
      </c>
    </row>
    <row r="32">
      <c r="A32" s="21" t="n"/>
      <c r="C32" s="21" t="n"/>
      <c r="D32" s="20">
        <f>IF(AND($C32="x",$A32&lt;&gt;""),$A32,"")</f>
        <v/>
      </c>
    </row>
    <row r="33">
      <c r="A33" s="21" t="n"/>
      <c r="C33" s="21" t="n"/>
      <c r="D33" s="20">
        <f>IF(AND($C33="x",$A33&lt;&gt;""),$A33,"")</f>
        <v/>
      </c>
    </row>
    <row r="34">
      <c r="A34" s="21" t="n"/>
      <c r="C34" s="21" t="n"/>
      <c r="D34" s="20">
        <f>IF(AND($C34="x",$A34&lt;&gt;""),$A34,"")</f>
        <v/>
      </c>
    </row>
    <row r="35">
      <c r="A35" s="21" t="n"/>
      <c r="C35" s="21" t="n"/>
      <c r="D35" s="20">
        <f>IF(AND($C35="x",$A35&lt;&gt;""),$A35,"")</f>
        <v/>
      </c>
    </row>
    <row r="36">
      <c r="A36" s="21" t="n"/>
      <c r="C36" s="21" t="n"/>
      <c r="D36" s="20">
        <f>IF(AND($C36="x",$A36&lt;&gt;""),$A36,"")</f>
        <v/>
      </c>
    </row>
    <row r="37">
      <c r="A37" s="21" t="n"/>
      <c r="C37" s="21" t="n"/>
      <c r="D37" s="20">
        <f>IF(AND($C37="x",$A37&lt;&gt;""),$A37,"")</f>
        <v/>
      </c>
    </row>
    <row r="38">
      <c r="A38" s="21" t="n"/>
      <c r="C38" s="21" t="n"/>
      <c r="D38" s="20">
        <f>IF(AND($C38="x",$A38&lt;&gt;""),$A38,"")</f>
        <v/>
      </c>
    </row>
    <row r="39">
      <c r="A39" s="21" t="n"/>
      <c r="C39" s="21" t="n"/>
      <c r="D39" s="20">
        <f>IF(AND($C39="x",$A39&lt;&gt;""),$A39,"")</f>
        <v/>
      </c>
    </row>
    <row r="40">
      <c r="A40" s="21" t="n"/>
      <c r="C40" s="21" t="n"/>
      <c r="D40" s="20">
        <f>IF(AND($C40="x",$A40&lt;&gt;""),$A40,"")</f>
        <v/>
      </c>
    </row>
    <row r="41">
      <c r="A41" s="21" t="n"/>
      <c r="C41" s="21" t="n"/>
      <c r="D41" s="20">
        <f>IF(AND($C41="x",$A41&lt;&gt;""),$A41,"")</f>
        <v/>
      </c>
    </row>
    <row r="42">
      <c r="A42" s="21" t="n"/>
      <c r="C42" s="21" t="n"/>
      <c r="D42" s="20">
        <f>IF(AND($C42="x",$A42&lt;&gt;""),$A42,"")</f>
        <v/>
      </c>
    </row>
    <row r="43">
      <c r="A43" s="21" t="n"/>
      <c r="C43" s="21" t="n"/>
      <c r="D43" s="20">
        <f>IF(AND($C43="x",$A43&lt;&gt;""),$A43,"")</f>
        <v/>
      </c>
    </row>
    <row r="44">
      <c r="A44" s="21" t="n"/>
      <c r="C44" s="21" t="n"/>
      <c r="D44" s="20">
        <f>IF(AND($C44="x",$A44&lt;&gt;""),$A44,"")</f>
        <v/>
      </c>
    </row>
    <row r="45">
      <c r="A45" s="21" t="n"/>
      <c r="C45" s="21" t="n"/>
      <c r="D45" s="20">
        <f>IF(AND($C45="x",$A45&lt;&gt;""),$A45,"")</f>
        <v/>
      </c>
    </row>
    <row r="46">
      <c r="A46" s="21" t="n"/>
      <c r="C46" s="21" t="n"/>
      <c r="D46" s="20">
        <f>IF(AND($C46="x",$A46&lt;&gt;""),$A46,"")</f>
        <v/>
      </c>
    </row>
    <row r="47">
      <c r="A47" s="21" t="n"/>
      <c r="C47" s="21" t="n"/>
      <c r="D47" s="20">
        <f>IF(AND($C47="x",$A47&lt;&gt;""),$A47,"")</f>
        <v/>
      </c>
    </row>
    <row r="48">
      <c r="A48" s="21" t="n"/>
      <c r="C48" s="21" t="n"/>
      <c r="D48" s="20">
        <f>IF(AND($C48="x",$A48&lt;&gt;""),$A48,"")</f>
        <v/>
      </c>
    </row>
    <row r="49">
      <c r="A49" s="21" t="n"/>
      <c r="C49" s="21" t="n"/>
      <c r="D49" s="20">
        <f>IF(AND($C49="x",$A49&lt;&gt;""),$A49,"")</f>
        <v/>
      </c>
    </row>
    <row r="50">
      <c r="A50" s="21" t="n"/>
      <c r="C50" s="21" t="n"/>
      <c r="D50" s="20">
        <f>IF(AND($C50="x",$A50&lt;&gt;""),$A50,"")</f>
        <v/>
      </c>
    </row>
    <row r="51">
      <c r="A51" s="21" t="n"/>
      <c r="C51" s="21" t="n"/>
      <c r="D51" s="20">
        <f>IF(AND($C51="x",$A51&lt;&gt;""),$A51,"")</f>
        <v/>
      </c>
    </row>
    <row r="52">
      <c r="A52" s="21" t="n"/>
      <c r="C52" s="21" t="n"/>
      <c r="D52" s="20">
        <f>IF(AND($C52="x",$A52&lt;&gt;""),$A52,"")</f>
        <v/>
      </c>
    </row>
    <row r="53">
      <c r="A53" s="21" t="n"/>
      <c r="C53" s="21" t="n"/>
      <c r="D53" s="20">
        <f>IF(AND($C53="x",$A53&lt;&gt;""),$A53,"")</f>
        <v/>
      </c>
    </row>
    <row r="54">
      <c r="A54" s="21" t="n"/>
      <c r="C54" s="21" t="n"/>
      <c r="D54" s="20">
        <f>IF(AND($C54="x",$A54&lt;&gt;""),$A54,"")</f>
        <v/>
      </c>
    </row>
    <row r="55">
      <c r="A55" s="21" t="n"/>
      <c r="C55" s="21" t="n"/>
      <c r="D55" s="20">
        <f>IF(AND($C55="x",$A55&lt;&gt;""),$A55,"")</f>
        <v/>
      </c>
    </row>
    <row r="56">
      <c r="A56" s="21" t="n"/>
      <c r="C56" s="21" t="n"/>
      <c r="D56" s="20">
        <f>IF(AND($C56="x",$A56&lt;&gt;""),$A56,"")</f>
        <v/>
      </c>
    </row>
    <row r="57">
      <c r="A57" s="21" t="n"/>
      <c r="C57" s="21" t="n"/>
      <c r="D57" s="20">
        <f>IF(AND($C57="x",$A57&lt;&gt;""),$A57,"")</f>
        <v/>
      </c>
    </row>
    <row r="58">
      <c r="A58" s="21" t="n"/>
      <c r="C58" s="21" t="n"/>
      <c r="D58" s="20">
        <f>IF(AND($C58="x",$A58&lt;&gt;""),$A58,"")</f>
        <v/>
      </c>
    </row>
    <row r="59">
      <c r="A59" s="21" t="n"/>
      <c r="C59" s="21" t="n"/>
      <c r="D59" s="20">
        <f>IF(AND($C59="x",$A59&lt;&gt;""),$A59,"")</f>
        <v/>
      </c>
    </row>
    <row r="60">
      <c r="A60" s="21" t="n"/>
      <c r="C60" s="21" t="n"/>
      <c r="D60" s="20">
        <f>IF(AND($C60="x",$A60&lt;&gt;""),$A60,"")</f>
        <v/>
      </c>
    </row>
    <row r="61">
      <c r="A61" s="21" t="n"/>
      <c r="C61" s="21" t="n"/>
      <c r="D61" s="20">
        <f>IF(AND($C61="x",$A61&lt;&gt;""),$A61,"")</f>
        <v/>
      </c>
    </row>
    <row r="62">
      <c r="A62" s="21" t="n"/>
      <c r="C62" s="21" t="n"/>
      <c r="D62" s="20">
        <f>IF(AND($C62="x",$A62&lt;&gt;""),$A62,"")</f>
        <v/>
      </c>
    </row>
    <row r="63">
      <c r="A63" s="21" t="n"/>
      <c r="C63" s="21" t="n"/>
      <c r="D63" s="20">
        <f>IF(AND($C63="x",$A63&lt;&gt;""),$A63,"")</f>
        <v/>
      </c>
    </row>
    <row r="64">
      <c r="A64" s="21" t="n"/>
      <c r="C64" s="21" t="n"/>
      <c r="D64" s="20">
        <f>IF(AND($C64="x",$A64&lt;&gt;""),$A64,"")</f>
        <v/>
      </c>
    </row>
    <row r="65">
      <c r="A65" s="21" t="n"/>
      <c r="C65" s="21" t="n"/>
      <c r="D65" s="20">
        <f>IF(AND($C65="x",$A65&lt;&gt;""),$A65,"")</f>
        <v/>
      </c>
    </row>
    <row r="66">
      <c r="A66" s="21" t="n"/>
      <c r="C66" s="21" t="n"/>
      <c r="D66" s="20">
        <f>IF(AND($C66="x",$A66&lt;&gt;""),$A66,"")</f>
        <v/>
      </c>
    </row>
    <row r="67">
      <c r="A67" s="21" t="n"/>
      <c r="C67" s="21" t="n"/>
      <c r="D67" s="20">
        <f>IF(AND($C67="x",$A67&lt;&gt;""),$A67,"")</f>
        <v/>
      </c>
    </row>
    <row r="68">
      <c r="A68" s="21" t="n"/>
      <c r="C68" s="21" t="n"/>
      <c r="D68" s="20">
        <f>IF(AND($C68="x",$A68&lt;&gt;""),$A68,"")</f>
        <v/>
      </c>
    </row>
    <row r="69">
      <c r="A69" s="21" t="n"/>
      <c r="C69" s="21" t="n"/>
      <c r="D69" s="20">
        <f>IF(AND($C69="x",$A69&lt;&gt;""),$A69,"")</f>
        <v/>
      </c>
    </row>
    <row r="70">
      <c r="A70" s="21" t="n"/>
      <c r="C70" s="21" t="n"/>
      <c r="D70" s="20">
        <f>IF(AND($C70="x",$A70&lt;&gt;""),$A70,"")</f>
        <v/>
      </c>
    </row>
    <row r="71">
      <c r="A71" s="21" t="n"/>
      <c r="C71" s="21" t="n"/>
      <c r="D71" s="20">
        <f>IF(AND($C71="x",$A71&lt;&gt;""),$A71,"")</f>
        <v/>
      </c>
    </row>
    <row r="72">
      <c r="A72" s="21" t="n"/>
      <c r="C72" s="21" t="n"/>
      <c r="D72" s="20">
        <f>IF(AND($C72="x",$A72&lt;&gt;""),$A72,"")</f>
        <v/>
      </c>
    </row>
    <row r="73">
      <c r="A73" s="21" t="n"/>
      <c r="C73" s="21" t="n"/>
      <c r="D73" s="20">
        <f>IF(AND($C73="x",$A73&lt;&gt;""),$A73,"")</f>
        <v/>
      </c>
    </row>
    <row r="74">
      <c r="A74" s="21" t="n"/>
      <c r="C74" s="21" t="n"/>
      <c r="D74" s="20">
        <f>IF(AND($C74="x",$A74&lt;&gt;""),$A74,"")</f>
        <v/>
      </c>
    </row>
    <row r="75">
      <c r="A75" s="21" t="n"/>
      <c r="C75" s="21" t="n"/>
      <c r="D75" s="20">
        <f>IF(AND($C75="x",$A75&lt;&gt;""),$A75,"")</f>
        <v/>
      </c>
    </row>
    <row r="76">
      <c r="A76" s="21" t="n"/>
      <c r="C76" s="21" t="n"/>
      <c r="D76" s="20">
        <f>IF(AND($C76="x",$A76&lt;&gt;""),$A76,"")</f>
        <v/>
      </c>
    </row>
    <row r="77">
      <c r="A77" s="21" t="n"/>
      <c r="C77" s="21" t="n"/>
      <c r="D77" s="20">
        <f>IF(AND($C77="x",$A77&lt;&gt;""),$A77,"")</f>
        <v/>
      </c>
    </row>
    <row r="78">
      <c r="A78" s="21" t="n"/>
      <c r="C78" s="21" t="n"/>
      <c r="D78" s="20">
        <f>IF(AND($C78="x",$A78&lt;&gt;""),$A78,"")</f>
        <v/>
      </c>
    </row>
    <row r="79">
      <c r="A79" s="21" t="n"/>
      <c r="C79" s="21" t="n"/>
      <c r="D79" s="20">
        <f>IF(AND($C79="x",$A79&lt;&gt;""),$A79,"")</f>
        <v/>
      </c>
    </row>
    <row r="80">
      <c r="A80" s="21" t="n"/>
      <c r="C80" s="21" t="n"/>
      <c r="D80" s="20">
        <f>IF(AND($C80="x",$A80&lt;&gt;""),$A80,"")</f>
        <v/>
      </c>
    </row>
  </sheetData>
  <mergeCells count="2">
    <mergeCell ref="A24:C24"/>
    <mergeCell ref="B8:D8"/>
  </mergeCells>
  <dataValidations count="1">
    <dataValidation sqref="C12 C13 C14 C15 C16 C17 C18 C19 C20 C21 C22 C23 C24 C25 C26 C27 C28 C29 C30 C31 C32 C33 C34 C35 C36 C37 C38 C39 C40 C41 C42 C43 C44 C45 C46 C47 C48 C49 C50 C51 C52 C53 C54 C55 C56 C57 C58 C59 C60 C61 C62 C63 C64 C65 C66 C67 C68 C69 C70 C71 C72 C73 C74 C75 C76 C77 C78 C79 C80" showDropDown="0" showInputMessage="0" showErrorMessage="1" allowBlank="1" errorTitle="Alleen x" error="Zet een x om het veld op te nemen, of laat de cel leeg." type="list">
      <formula1>"x"</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80"/>
  <sheetViews>
    <sheetView workbookViewId="0">
      <pane ySplit="11" topLeftCell="A12" activePane="bottomLeft" state="frozen"/>
      <selection pane="bottomLeft" activeCell="A1" sqref="A1"/>
    </sheetView>
  </sheetViews>
  <sheetFormatPr baseColWidth="8" defaultRowHeight="15"/>
  <cols>
    <col width="44" customWidth="1" min="1" max="1"/>
    <col width="62" customWidth="1" min="2" max="2"/>
    <col width="13" customWidth="1" min="3" max="3"/>
    <col hidden="1" width="10" customWidth="1" min="4" max="4"/>
  </cols>
  <sheetData>
    <row r="1">
      <c r="A1" s="13" t="inlineStr">
        <is>
          <t>Windsor-export: GA4 landing</t>
        </is>
      </c>
      <c r="C1" s="14" t="inlineStr">
        <is>
          <t>Status: Aanbevolen · Website → landingspagina's</t>
        </is>
      </c>
    </row>
    <row r="2">
      <c r="A2" s="3" t="inlineStr">
        <is>
          <t>Connector</t>
        </is>
      </c>
      <c r="B2" s="6" t="inlineStr">
        <is>
          <t>googleanalytics4</t>
        </is>
      </c>
    </row>
    <row r="3">
      <c r="A3" s="3" t="inlineStr">
        <is>
          <t>Account-id (uit Instellingen)</t>
        </is>
      </c>
      <c r="B3" s="15">
        <f>Instellingen!$B$12</f>
        <v/>
      </c>
    </row>
    <row r="4">
      <c r="A4" s="3" t="inlineStr">
        <is>
          <t>Taaknaam (Task name)</t>
        </is>
      </c>
      <c r="B4" s="15">
        <f>"Windsor - Sheets - GA4 landing - "&amp;Instellingen!$B$3</f>
        <v/>
      </c>
    </row>
    <row r="5">
      <c r="A5" s="3" t="inlineStr">
        <is>
          <t>Tabnaam (Sheet Name)</t>
        </is>
      </c>
      <c r="B5" s="15">
        <f>"Google Analytics 4 - landing - "&amp;Instellingen!$B$3&amp;" - windsor.ai"</f>
        <v/>
      </c>
      <c r="C5" s="12" t="inlineStr">
        <is>
          <t>Herkenning in api/_sheetdata.js gaat op bron + niveau in deze naam; hou het voorstel aan.</t>
        </is>
      </c>
    </row>
    <row r="6">
      <c r="A6" s="3" t="inlineStr">
        <is>
          <t>Columns to Match (rows to replace)</t>
        </is>
      </c>
      <c r="B6" s="6" t="inlineStr">
        <is>
          <t>date</t>
        </is>
      </c>
      <c r="C6" s="12" t="inlineStr">
        <is>
          <t>Voorstel; zoals bij de bestaande exports.</t>
        </is>
      </c>
    </row>
    <row r="7">
      <c r="A7" s="3" t="inlineStr">
        <is>
          <t>Schedule</t>
        </is>
      </c>
      <c r="B7" s="6" t="inlineStr">
        <is>
          <t>Daily · 00:00 UTC · Target Cell A1 · Authentication: Google Account</t>
        </is>
      </c>
    </row>
    <row r="8" ht="90" customHeight="1">
      <c r="A8" s="3" t="inlineStr">
        <is>
          <t>Query (gegenereerd — api_key blijft leeg)</t>
        </is>
      </c>
      <c r="B8" s="16">
        <f>"https://connectors.windsor.ai/"&amp;$B$2&amp;"?api_key="&amp;IF(Instellingen!$B$4&lt;&gt;"","&amp;date_preset="&amp;Instellingen!$B$4,"")&amp;"&amp;fields="&amp;_xlfn.TEXTJOIN(",",TRUE,$D$12:$D$80)&amp;IF($B$3&lt;&gt;"","&amp;select_accounts="&amp;$B$3,"")&amp;IF(Instellingen!$B$5&lt;&gt;"","&amp;_field_headers="&amp;Instellingen!$B$5,"")</f>
        <v/>
      </c>
    </row>
    <row r="9">
      <c r="A9" s="3" t="inlineStr">
        <is>
          <t>Aantal velden in de query</t>
        </is>
      </c>
      <c r="B9" s="17">
        <f>COUNTIF($C$12:$C$80,"x")</f>
        <v/>
      </c>
    </row>
    <row r="11">
      <c r="A11" s="8" t="inlineStr">
        <is>
          <t>Veld (Windsor-id)</t>
        </is>
      </c>
      <c r="B11" s="8" t="inlineStr">
        <is>
          <t>Gebruik in het dashboard</t>
        </is>
      </c>
      <c r="C11" s="8" t="inlineStr">
        <is>
          <t>Opnemen (x)</t>
        </is>
      </c>
      <c r="D11" s="8" t="inlineStr">
        <is>
          <t>→ query</t>
        </is>
      </c>
    </row>
    <row r="12">
      <c r="A12" s="9" t="inlineStr">
        <is>
          <t>date</t>
        </is>
      </c>
      <c r="B12" s="18" t="inlineStr">
        <is>
          <t>Datumkolom: 'Columns to Match' en periodefilter</t>
        </is>
      </c>
      <c r="C12" s="19" t="inlineStr">
        <is>
          <t>x</t>
        </is>
      </c>
      <c r="D12" s="20">
        <f>IF(AND($C12="x",$A12&lt;&gt;""),$A12,"")</f>
        <v/>
      </c>
    </row>
    <row r="13">
      <c r="A13" s="9" t="inlineStr">
        <is>
          <t>account_id</t>
        </is>
      </c>
      <c r="B13" s="18" t="inlineStr">
        <is>
          <t>Accountcontrole: alleen rijen van dit account tellen mee</t>
        </is>
      </c>
      <c r="C13" s="19" t="inlineStr">
        <is>
          <t>x</t>
        </is>
      </c>
      <c r="D13" s="20">
        <f>IF(AND($C13="x",$A13&lt;&gt;""),$A13,"")</f>
        <v/>
      </c>
    </row>
    <row r="14">
      <c r="A14" s="9" t="inlineStr">
        <is>
          <t>account_name</t>
        </is>
      </c>
      <c r="B14" s="18" t="inlineStr">
        <is>
          <t>Idem, leesbaar</t>
        </is>
      </c>
      <c r="C14" s="19" t="inlineStr">
        <is>
          <t>x</t>
        </is>
      </c>
      <c r="D14" s="20">
        <f>IF(AND($C14="x",$A14&lt;&gt;""),$A14,"")</f>
        <v/>
      </c>
    </row>
    <row r="15">
      <c r="A15" s="9" t="inlineStr">
        <is>
          <t>landing_page</t>
        </is>
      </c>
      <c r="B15" s="18" t="inlineStr">
        <is>
          <t>Landingspagina</t>
        </is>
      </c>
      <c r="C15" s="19" t="inlineStr">
        <is>
          <t>x</t>
        </is>
      </c>
      <c r="D15" s="20">
        <f>IF(AND($C15="x",$A15&lt;&gt;""),$A15,"")</f>
        <v/>
      </c>
    </row>
    <row r="16">
      <c r="A16" s="9" t="inlineStr">
        <is>
          <t>sessions</t>
        </is>
      </c>
      <c r="B16" s="18" t="inlineStr">
        <is>
          <t>Sessies</t>
        </is>
      </c>
      <c r="C16" s="19" t="inlineStr">
        <is>
          <t>x</t>
        </is>
      </c>
      <c r="D16" s="20">
        <f>IF(AND($C16="x",$A16&lt;&gt;""),$A16,"")</f>
        <v/>
      </c>
    </row>
    <row r="17">
      <c r="A17" s="9" t="inlineStr">
        <is>
          <t>engaged_sessions</t>
        </is>
      </c>
      <c r="B17" s="18" t="inlineStr">
        <is>
          <t>Betrokken sessies</t>
        </is>
      </c>
      <c r="C17" s="19" t="inlineStr">
        <is>
          <t>x</t>
        </is>
      </c>
      <c r="D17" s="20">
        <f>IF(AND($C17="x",$A17&lt;&gt;""),$A17,"")</f>
        <v/>
      </c>
    </row>
    <row r="18">
      <c r="A18" s="9" t="inlineStr">
        <is>
          <t>conversions</t>
        </is>
      </c>
      <c r="B18" s="18" t="inlineStr">
        <is>
          <t>Key events (per sessie, kan &gt; 1)</t>
        </is>
      </c>
      <c r="C18" s="19" t="inlineStr">
        <is>
          <t>x</t>
        </is>
      </c>
      <c r="D18" s="20">
        <f>IF(AND($C18="x",$A18&lt;&gt;""),$A18,"")</f>
        <v/>
      </c>
    </row>
    <row r="19">
      <c r="A19" s="9" t="inlineStr">
        <is>
          <t>purchase_revenue</t>
        </is>
      </c>
      <c r="B19" s="18" t="inlineStr">
        <is>
          <t>Omzet</t>
        </is>
      </c>
      <c r="C19" s="19" t="inlineStr">
        <is>
          <t>x</t>
        </is>
      </c>
      <c r="D19" s="20">
        <f>IF(AND($C19="x",$A19&lt;&gt;""),$A19,"")</f>
        <v/>
      </c>
    </row>
    <row r="20">
      <c r="A20" s="9">
        <f>IF(Instellingen!$B$6&lt;&gt;"","conversions_"&amp;Instellingen!$B$6,"")</f>
        <v/>
      </c>
      <c r="B20" s="18" t="inlineStr">
        <is>
          <t>Hoofddoel per klant (Config 'Conversiedoel'); kop wordt 'Key event count for &lt;event&gt;'</t>
        </is>
      </c>
      <c r="C20" s="19" t="inlineStr">
        <is>
          <t>x</t>
        </is>
      </c>
      <c r="D20" s="20">
        <f>IF(AND($C20="x",$A20&lt;&gt;""),$A20,"")</f>
        <v/>
      </c>
    </row>
    <row r="21">
      <c r="A21" s="14" t="inlineStr">
        <is>
          <t>Eigen veld toevoegen: zet hieronder het Windsor-veld-id in kolom A en een x in kolom C (tot rij 80).</t>
        </is>
      </c>
    </row>
    <row r="22">
      <c r="A22" s="21" t="n"/>
      <c r="C22" s="21" t="n"/>
      <c r="D22" s="20">
        <f>IF(AND($C22="x",$A22&lt;&gt;""),$A22,"")</f>
        <v/>
      </c>
    </row>
    <row r="23">
      <c r="A23" s="21" t="n"/>
      <c r="C23" s="21" t="n"/>
      <c r="D23" s="20">
        <f>IF(AND($C23="x",$A23&lt;&gt;""),$A23,"")</f>
        <v/>
      </c>
    </row>
    <row r="24">
      <c r="A24" s="21" t="n"/>
      <c r="C24" s="21" t="n"/>
      <c r="D24" s="20">
        <f>IF(AND($C24="x",$A24&lt;&gt;""),$A24,"")</f>
        <v/>
      </c>
    </row>
    <row r="25">
      <c r="A25" s="21" t="n"/>
      <c r="C25" s="21" t="n"/>
      <c r="D25" s="20">
        <f>IF(AND($C25="x",$A25&lt;&gt;""),$A25,"")</f>
        <v/>
      </c>
    </row>
    <row r="26">
      <c r="A26" s="21" t="n"/>
      <c r="C26" s="21" t="n"/>
      <c r="D26" s="20">
        <f>IF(AND($C26="x",$A26&lt;&gt;""),$A26,"")</f>
        <v/>
      </c>
    </row>
    <row r="27">
      <c r="A27" s="21" t="n"/>
      <c r="C27" s="21" t="n"/>
      <c r="D27" s="20">
        <f>IF(AND($C27="x",$A27&lt;&gt;""),$A27,"")</f>
        <v/>
      </c>
    </row>
    <row r="28">
      <c r="A28" s="21" t="n"/>
      <c r="C28" s="21" t="n"/>
      <c r="D28" s="20">
        <f>IF(AND($C28="x",$A28&lt;&gt;""),$A28,"")</f>
        <v/>
      </c>
    </row>
    <row r="29">
      <c r="A29" s="21" t="n"/>
      <c r="C29" s="21" t="n"/>
      <c r="D29" s="20">
        <f>IF(AND($C29="x",$A29&lt;&gt;""),$A29,"")</f>
        <v/>
      </c>
    </row>
    <row r="30">
      <c r="A30" s="21" t="n"/>
      <c r="C30" s="21" t="n"/>
      <c r="D30" s="20">
        <f>IF(AND($C30="x",$A30&lt;&gt;""),$A30,"")</f>
        <v/>
      </c>
    </row>
    <row r="31">
      <c r="A31" s="21" t="n"/>
      <c r="C31" s="21" t="n"/>
      <c r="D31" s="20">
        <f>IF(AND($C31="x",$A31&lt;&gt;""),$A31,"")</f>
        <v/>
      </c>
    </row>
    <row r="32">
      <c r="A32" s="21" t="n"/>
      <c r="C32" s="21" t="n"/>
      <c r="D32" s="20">
        <f>IF(AND($C32="x",$A32&lt;&gt;""),$A32,"")</f>
        <v/>
      </c>
    </row>
    <row r="33">
      <c r="A33" s="21" t="n"/>
      <c r="C33" s="21" t="n"/>
      <c r="D33" s="20">
        <f>IF(AND($C33="x",$A33&lt;&gt;""),$A33,"")</f>
        <v/>
      </c>
    </row>
    <row r="34">
      <c r="A34" s="21" t="n"/>
      <c r="C34" s="21" t="n"/>
      <c r="D34" s="20">
        <f>IF(AND($C34="x",$A34&lt;&gt;""),$A34,"")</f>
        <v/>
      </c>
    </row>
    <row r="35">
      <c r="A35" s="21" t="n"/>
      <c r="C35" s="21" t="n"/>
      <c r="D35" s="20">
        <f>IF(AND($C35="x",$A35&lt;&gt;""),$A35,"")</f>
        <v/>
      </c>
    </row>
    <row r="36">
      <c r="A36" s="21" t="n"/>
      <c r="C36" s="21" t="n"/>
      <c r="D36" s="20">
        <f>IF(AND($C36="x",$A36&lt;&gt;""),$A36,"")</f>
        <v/>
      </c>
    </row>
    <row r="37">
      <c r="A37" s="21" t="n"/>
      <c r="C37" s="21" t="n"/>
      <c r="D37" s="20">
        <f>IF(AND($C37="x",$A37&lt;&gt;""),$A37,"")</f>
        <v/>
      </c>
    </row>
    <row r="38">
      <c r="A38" s="21" t="n"/>
      <c r="C38" s="21" t="n"/>
      <c r="D38" s="20">
        <f>IF(AND($C38="x",$A38&lt;&gt;""),$A38,"")</f>
        <v/>
      </c>
    </row>
    <row r="39">
      <c r="A39" s="21" t="n"/>
      <c r="C39" s="21" t="n"/>
      <c r="D39" s="20">
        <f>IF(AND($C39="x",$A39&lt;&gt;""),$A39,"")</f>
        <v/>
      </c>
    </row>
    <row r="40">
      <c r="A40" s="21" t="n"/>
      <c r="C40" s="21" t="n"/>
      <c r="D40" s="20">
        <f>IF(AND($C40="x",$A40&lt;&gt;""),$A40,"")</f>
        <v/>
      </c>
    </row>
    <row r="41">
      <c r="A41" s="21" t="n"/>
      <c r="C41" s="21" t="n"/>
      <c r="D41" s="20">
        <f>IF(AND($C41="x",$A41&lt;&gt;""),$A41,"")</f>
        <v/>
      </c>
    </row>
    <row r="42">
      <c r="A42" s="21" t="n"/>
      <c r="C42" s="21" t="n"/>
      <c r="D42" s="20">
        <f>IF(AND($C42="x",$A42&lt;&gt;""),$A42,"")</f>
        <v/>
      </c>
    </row>
    <row r="43">
      <c r="A43" s="21" t="n"/>
      <c r="C43" s="21" t="n"/>
      <c r="D43" s="20">
        <f>IF(AND($C43="x",$A43&lt;&gt;""),$A43,"")</f>
        <v/>
      </c>
    </row>
    <row r="44">
      <c r="A44" s="21" t="n"/>
      <c r="C44" s="21" t="n"/>
      <c r="D44" s="20">
        <f>IF(AND($C44="x",$A44&lt;&gt;""),$A44,"")</f>
        <v/>
      </c>
    </row>
    <row r="45">
      <c r="A45" s="21" t="n"/>
      <c r="C45" s="21" t="n"/>
      <c r="D45" s="20">
        <f>IF(AND($C45="x",$A45&lt;&gt;""),$A45,"")</f>
        <v/>
      </c>
    </row>
    <row r="46">
      <c r="A46" s="21" t="n"/>
      <c r="C46" s="21" t="n"/>
      <c r="D46" s="20">
        <f>IF(AND($C46="x",$A46&lt;&gt;""),$A46,"")</f>
        <v/>
      </c>
    </row>
    <row r="47">
      <c r="A47" s="21" t="n"/>
      <c r="C47" s="21" t="n"/>
      <c r="D47" s="20">
        <f>IF(AND($C47="x",$A47&lt;&gt;""),$A47,"")</f>
        <v/>
      </c>
    </row>
    <row r="48">
      <c r="A48" s="21" t="n"/>
      <c r="C48" s="21" t="n"/>
      <c r="D48" s="20">
        <f>IF(AND($C48="x",$A48&lt;&gt;""),$A48,"")</f>
        <v/>
      </c>
    </row>
    <row r="49">
      <c r="A49" s="21" t="n"/>
      <c r="C49" s="21" t="n"/>
      <c r="D49" s="20">
        <f>IF(AND($C49="x",$A49&lt;&gt;""),$A49,"")</f>
        <v/>
      </c>
    </row>
    <row r="50">
      <c r="A50" s="21" t="n"/>
      <c r="C50" s="21" t="n"/>
      <c r="D50" s="20">
        <f>IF(AND($C50="x",$A50&lt;&gt;""),$A50,"")</f>
        <v/>
      </c>
    </row>
    <row r="51">
      <c r="A51" s="21" t="n"/>
      <c r="C51" s="21" t="n"/>
      <c r="D51" s="20">
        <f>IF(AND($C51="x",$A51&lt;&gt;""),$A51,"")</f>
        <v/>
      </c>
    </row>
    <row r="52">
      <c r="A52" s="21" t="n"/>
      <c r="C52" s="21" t="n"/>
      <c r="D52" s="20">
        <f>IF(AND($C52="x",$A52&lt;&gt;""),$A52,"")</f>
        <v/>
      </c>
    </row>
    <row r="53">
      <c r="A53" s="21" t="n"/>
      <c r="C53" s="21" t="n"/>
      <c r="D53" s="20">
        <f>IF(AND($C53="x",$A53&lt;&gt;""),$A53,"")</f>
        <v/>
      </c>
    </row>
    <row r="54">
      <c r="A54" s="21" t="n"/>
      <c r="C54" s="21" t="n"/>
      <c r="D54" s="20">
        <f>IF(AND($C54="x",$A54&lt;&gt;""),$A54,"")</f>
        <v/>
      </c>
    </row>
    <row r="55">
      <c r="A55" s="21" t="n"/>
      <c r="C55" s="21" t="n"/>
      <c r="D55" s="20">
        <f>IF(AND($C55="x",$A55&lt;&gt;""),$A55,"")</f>
        <v/>
      </c>
    </row>
    <row r="56">
      <c r="A56" s="21" t="n"/>
      <c r="C56" s="21" t="n"/>
      <c r="D56" s="20">
        <f>IF(AND($C56="x",$A56&lt;&gt;""),$A56,"")</f>
        <v/>
      </c>
    </row>
    <row r="57">
      <c r="A57" s="21" t="n"/>
      <c r="C57" s="21" t="n"/>
      <c r="D57" s="20">
        <f>IF(AND($C57="x",$A57&lt;&gt;""),$A57,"")</f>
        <v/>
      </c>
    </row>
    <row r="58">
      <c r="A58" s="21" t="n"/>
      <c r="C58" s="21" t="n"/>
      <c r="D58" s="20">
        <f>IF(AND($C58="x",$A58&lt;&gt;""),$A58,"")</f>
        <v/>
      </c>
    </row>
    <row r="59">
      <c r="A59" s="21" t="n"/>
      <c r="C59" s="21" t="n"/>
      <c r="D59" s="20">
        <f>IF(AND($C59="x",$A59&lt;&gt;""),$A59,"")</f>
        <v/>
      </c>
    </row>
    <row r="60">
      <c r="A60" s="21" t="n"/>
      <c r="C60" s="21" t="n"/>
      <c r="D60" s="20">
        <f>IF(AND($C60="x",$A60&lt;&gt;""),$A60,"")</f>
        <v/>
      </c>
    </row>
    <row r="61">
      <c r="A61" s="21" t="n"/>
      <c r="C61" s="21" t="n"/>
      <c r="D61" s="20">
        <f>IF(AND($C61="x",$A61&lt;&gt;""),$A61,"")</f>
        <v/>
      </c>
    </row>
    <row r="62">
      <c r="A62" s="21" t="n"/>
      <c r="C62" s="21" t="n"/>
      <c r="D62" s="20">
        <f>IF(AND($C62="x",$A62&lt;&gt;""),$A62,"")</f>
        <v/>
      </c>
    </row>
    <row r="63">
      <c r="A63" s="21" t="n"/>
      <c r="C63" s="21" t="n"/>
      <c r="D63" s="20">
        <f>IF(AND($C63="x",$A63&lt;&gt;""),$A63,"")</f>
        <v/>
      </c>
    </row>
    <row r="64">
      <c r="A64" s="21" t="n"/>
      <c r="C64" s="21" t="n"/>
      <c r="D64" s="20">
        <f>IF(AND($C64="x",$A64&lt;&gt;""),$A64,"")</f>
        <v/>
      </c>
    </row>
    <row r="65">
      <c r="A65" s="21" t="n"/>
      <c r="C65" s="21" t="n"/>
      <c r="D65" s="20">
        <f>IF(AND($C65="x",$A65&lt;&gt;""),$A65,"")</f>
        <v/>
      </c>
    </row>
    <row r="66">
      <c r="A66" s="21" t="n"/>
      <c r="C66" s="21" t="n"/>
      <c r="D66" s="20">
        <f>IF(AND($C66="x",$A66&lt;&gt;""),$A66,"")</f>
        <v/>
      </c>
    </row>
    <row r="67">
      <c r="A67" s="21" t="n"/>
      <c r="C67" s="21" t="n"/>
      <c r="D67" s="20">
        <f>IF(AND($C67="x",$A67&lt;&gt;""),$A67,"")</f>
        <v/>
      </c>
    </row>
    <row r="68">
      <c r="A68" s="21" t="n"/>
      <c r="C68" s="21" t="n"/>
      <c r="D68" s="20">
        <f>IF(AND($C68="x",$A68&lt;&gt;""),$A68,"")</f>
        <v/>
      </c>
    </row>
    <row r="69">
      <c r="A69" s="21" t="n"/>
      <c r="C69" s="21" t="n"/>
      <c r="D69" s="20">
        <f>IF(AND($C69="x",$A69&lt;&gt;""),$A69,"")</f>
        <v/>
      </c>
    </row>
    <row r="70">
      <c r="A70" s="21" t="n"/>
      <c r="C70" s="21" t="n"/>
      <c r="D70" s="20">
        <f>IF(AND($C70="x",$A70&lt;&gt;""),$A70,"")</f>
        <v/>
      </c>
    </row>
    <row r="71">
      <c r="A71" s="21" t="n"/>
      <c r="C71" s="21" t="n"/>
      <c r="D71" s="20">
        <f>IF(AND($C71="x",$A71&lt;&gt;""),$A71,"")</f>
        <v/>
      </c>
    </row>
    <row r="72">
      <c r="A72" s="21" t="n"/>
      <c r="C72" s="21" t="n"/>
      <c r="D72" s="20">
        <f>IF(AND($C72="x",$A72&lt;&gt;""),$A72,"")</f>
        <v/>
      </c>
    </row>
    <row r="73">
      <c r="A73" s="21" t="n"/>
      <c r="C73" s="21" t="n"/>
      <c r="D73" s="20">
        <f>IF(AND($C73="x",$A73&lt;&gt;""),$A73,"")</f>
        <v/>
      </c>
    </row>
    <row r="74">
      <c r="A74" s="21" t="n"/>
      <c r="C74" s="21" t="n"/>
      <c r="D74" s="20">
        <f>IF(AND($C74="x",$A74&lt;&gt;""),$A74,"")</f>
        <v/>
      </c>
    </row>
    <row r="75">
      <c r="A75" s="21" t="n"/>
      <c r="C75" s="21" t="n"/>
      <c r="D75" s="20">
        <f>IF(AND($C75="x",$A75&lt;&gt;""),$A75,"")</f>
        <v/>
      </c>
    </row>
    <row r="76">
      <c r="A76" s="21" t="n"/>
      <c r="C76" s="21" t="n"/>
      <c r="D76" s="20">
        <f>IF(AND($C76="x",$A76&lt;&gt;""),$A76,"")</f>
        <v/>
      </c>
    </row>
    <row r="77">
      <c r="A77" s="21" t="n"/>
      <c r="C77" s="21" t="n"/>
      <c r="D77" s="20">
        <f>IF(AND($C77="x",$A77&lt;&gt;""),$A77,"")</f>
        <v/>
      </c>
    </row>
    <row r="78">
      <c r="A78" s="21" t="n"/>
      <c r="C78" s="21" t="n"/>
      <c r="D78" s="20">
        <f>IF(AND($C78="x",$A78&lt;&gt;""),$A78,"")</f>
        <v/>
      </c>
    </row>
    <row r="79">
      <c r="A79" s="21" t="n"/>
      <c r="C79" s="21" t="n"/>
      <c r="D79" s="20">
        <f>IF(AND($C79="x",$A79&lt;&gt;""),$A79,"")</f>
        <v/>
      </c>
    </row>
    <row r="80">
      <c r="A80" s="21" t="n"/>
      <c r="C80" s="21" t="n"/>
      <c r="D80" s="20">
        <f>IF(AND($C80="x",$A80&lt;&gt;""),$A80,"")</f>
        <v/>
      </c>
    </row>
  </sheetData>
  <mergeCells count="2">
    <mergeCell ref="B8:D8"/>
    <mergeCell ref="A21:C21"/>
  </mergeCells>
  <dataValidations count="1">
    <dataValidation sqref="C12 C13 C14 C15 C16 C17 C18 C19 C20 C21 C22 C23 C24 C25 C26 C27 C28 C29 C30 C31 C32 C33 C34 C35 C36 C37 C38 C39 C40 C41 C42 C43 C44 C45 C46 C47 C48 C49 C50 C51 C52 C53 C54 C55 C56 C57 C58 C59 C60 C61 C62 C63 C64 C65 C66 C67 C68 C69 C70 C71 C72 C73 C74 C75 C76 C77 C78 C79 C80" showDropDown="0" showInputMessage="0" showErrorMessage="1" allowBlank="1" errorTitle="Alleen x" error="Zet een x om het veld op te nemen, of laat de cel leeg." type="list">
      <formula1>"x"</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80"/>
  <sheetViews>
    <sheetView workbookViewId="0">
      <pane ySplit="11" topLeftCell="A12" activePane="bottomLeft" state="frozen"/>
      <selection pane="bottomLeft" activeCell="A1" sqref="A1"/>
    </sheetView>
  </sheetViews>
  <sheetFormatPr baseColWidth="8" defaultRowHeight="15"/>
  <cols>
    <col width="44" customWidth="1" min="1" max="1"/>
    <col width="62" customWidth="1" min="2" max="2"/>
    <col width="13" customWidth="1" min="3" max="3"/>
    <col hidden="1" width="10" customWidth="1" min="4" max="4"/>
  </cols>
  <sheetData>
    <row r="1">
      <c r="A1" s="13" t="inlineStr">
        <is>
          <t>Windsor-export: GA4 doelgroep</t>
        </is>
      </c>
      <c r="C1" s="14" t="inlineStr">
        <is>
          <t>Status: Alleen klanten zonder Windsor-sleutel · Website → Doelgroep (dashboard haalt dit normaal live)</t>
        </is>
      </c>
    </row>
    <row r="2">
      <c r="A2" s="3" t="inlineStr">
        <is>
          <t>Connector</t>
        </is>
      </c>
      <c r="B2" s="6" t="inlineStr">
        <is>
          <t>googleanalytics4</t>
        </is>
      </c>
    </row>
    <row r="3">
      <c r="A3" s="3" t="inlineStr">
        <is>
          <t>Account-id (uit Instellingen)</t>
        </is>
      </c>
      <c r="B3" s="15">
        <f>Instellingen!$B$12</f>
        <v/>
      </c>
    </row>
    <row r="4">
      <c r="A4" s="3" t="inlineStr">
        <is>
          <t>Taaknaam (Task name)</t>
        </is>
      </c>
      <c r="B4" s="15">
        <f>"Windsor - Sheets - GA4 doelgroep - "&amp;Instellingen!$B$3</f>
        <v/>
      </c>
    </row>
    <row r="5">
      <c r="A5" s="3" t="inlineStr">
        <is>
          <t>Tabnaam (Sheet Name)</t>
        </is>
      </c>
      <c r="B5" s="15">
        <f>"Google Analytics 4 - doelgroep - "&amp;Instellingen!$B$3&amp;" - windsor.ai"</f>
        <v/>
      </c>
      <c r="C5" s="12" t="inlineStr">
        <is>
          <t>Herkenning in api/_sheetdata.js gaat op bron + niveau in deze naam; hou het voorstel aan.</t>
        </is>
      </c>
    </row>
    <row r="6">
      <c r="A6" s="3" t="inlineStr">
        <is>
          <t>Columns to Match (rows to replace)</t>
        </is>
      </c>
      <c r="B6" s="6" t="inlineStr">
        <is>
          <t>date</t>
        </is>
      </c>
      <c r="C6" s="12" t="inlineStr">
        <is>
          <t>Voorstel; zoals bij de bestaande exports.</t>
        </is>
      </c>
    </row>
    <row r="7">
      <c r="A7" s="3" t="inlineStr">
        <is>
          <t>Schedule</t>
        </is>
      </c>
      <c r="B7" s="6" t="inlineStr">
        <is>
          <t>Daily · 00:00 UTC · Target Cell A1 · Authentication: Google Account</t>
        </is>
      </c>
    </row>
    <row r="8" ht="90" customHeight="1">
      <c r="A8" s="3" t="inlineStr">
        <is>
          <t>Query (gegenereerd — api_key blijft leeg)</t>
        </is>
      </c>
      <c r="B8" s="16">
        <f>"https://connectors.windsor.ai/"&amp;$B$2&amp;"?api_key="&amp;IF(Instellingen!$B$4&lt;&gt;"","&amp;date_preset="&amp;Instellingen!$B$4,"")&amp;"&amp;fields="&amp;_xlfn.TEXTJOIN(",",TRUE,$D$12:$D$80)&amp;IF($B$3&lt;&gt;"","&amp;select_accounts="&amp;$B$3,"")&amp;IF(Instellingen!$B$5&lt;&gt;"","&amp;_field_headers="&amp;Instellingen!$B$5,"")</f>
        <v/>
      </c>
    </row>
    <row r="9">
      <c r="A9" s="3" t="inlineStr">
        <is>
          <t>Aantal velden in de query</t>
        </is>
      </c>
      <c r="B9" s="17">
        <f>COUNTIF($C$12:$C$80,"x")</f>
        <v/>
      </c>
    </row>
    <row r="11">
      <c r="A11" s="8" t="inlineStr">
        <is>
          <t>Veld (Windsor-id)</t>
        </is>
      </c>
      <c r="B11" s="8" t="inlineStr">
        <is>
          <t>Gebruik in het dashboard</t>
        </is>
      </c>
      <c r="C11" s="8" t="inlineStr">
        <is>
          <t>Opnemen (x)</t>
        </is>
      </c>
      <c r="D11" s="8" t="inlineStr">
        <is>
          <t>→ query</t>
        </is>
      </c>
    </row>
    <row r="12">
      <c r="A12" s="9" t="inlineStr">
        <is>
          <t>date</t>
        </is>
      </c>
      <c r="B12" s="18" t="inlineStr">
        <is>
          <t>Datumkolom: 'Columns to Match' en periodefilter</t>
        </is>
      </c>
      <c r="C12" s="19" t="inlineStr">
        <is>
          <t>x</t>
        </is>
      </c>
      <c r="D12" s="20">
        <f>IF(AND($C12="x",$A12&lt;&gt;""),$A12,"")</f>
        <v/>
      </c>
    </row>
    <row r="13">
      <c r="A13" s="9" t="inlineStr">
        <is>
          <t>account_id</t>
        </is>
      </c>
      <c r="B13" s="18" t="inlineStr">
        <is>
          <t>Accountcontrole: alleen rijen van dit account tellen mee</t>
        </is>
      </c>
      <c r="C13" s="19" t="inlineStr">
        <is>
          <t>x</t>
        </is>
      </c>
      <c r="D13" s="20">
        <f>IF(AND($C13="x",$A13&lt;&gt;""),$A13,"")</f>
        <v/>
      </c>
    </row>
    <row r="14">
      <c r="A14" s="9" t="inlineStr">
        <is>
          <t>account_name</t>
        </is>
      </c>
      <c r="B14" s="18" t="inlineStr">
        <is>
          <t>Idem, leesbaar</t>
        </is>
      </c>
      <c r="C14" s="19" t="inlineStr">
        <is>
          <t>x</t>
        </is>
      </c>
      <c r="D14" s="20">
        <f>IF(AND($C14="x",$A14&lt;&gt;""),$A14,"")</f>
        <v/>
      </c>
    </row>
    <row r="15">
      <c r="A15" s="9" t="inlineStr">
        <is>
          <t>age</t>
        </is>
      </c>
      <c r="B15" s="18" t="inlineStr">
        <is>
          <t>Leeftijd (Google Signals vereist)</t>
        </is>
      </c>
      <c r="C15" s="19" t="inlineStr">
        <is>
          <t>x</t>
        </is>
      </c>
      <c r="D15" s="20">
        <f>IF(AND($C15="x",$A15&lt;&gt;""),$A15,"")</f>
        <v/>
      </c>
    </row>
    <row r="16">
      <c r="A16" s="9" t="inlineStr">
        <is>
          <t>gender</t>
        </is>
      </c>
      <c r="B16" s="18" t="inlineStr">
        <is>
          <t>Geslacht</t>
        </is>
      </c>
      <c r="C16" s="19" t="inlineStr">
        <is>
          <t>x</t>
        </is>
      </c>
      <c r="D16" s="20">
        <f>IF(AND($C16="x",$A16&lt;&gt;""),$A16,"")</f>
        <v/>
      </c>
    </row>
    <row r="17">
      <c r="A17" s="9" t="inlineStr">
        <is>
          <t>session_default_channel_group</t>
        </is>
      </c>
      <c r="B17" s="18" t="inlineStr">
        <is>
          <t>Kanaalgroep</t>
        </is>
      </c>
      <c r="C17" s="19" t="inlineStr">
        <is>
          <t>x</t>
        </is>
      </c>
      <c r="D17" s="20">
        <f>IF(AND($C17="x",$A17&lt;&gt;""),$A17,"")</f>
        <v/>
      </c>
    </row>
    <row r="18">
      <c r="A18" s="9" t="inlineStr">
        <is>
          <t>sessions</t>
        </is>
      </c>
      <c r="B18" s="18" t="inlineStr">
        <is>
          <t>Sessies</t>
        </is>
      </c>
      <c r="C18" s="19" t="inlineStr">
        <is>
          <t>x</t>
        </is>
      </c>
      <c r="D18" s="20">
        <f>IF(AND($C18="x",$A18&lt;&gt;""),$A18,"")</f>
        <v/>
      </c>
    </row>
    <row r="19">
      <c r="A19" s="9" t="inlineStr">
        <is>
          <t>engaged_sessions</t>
        </is>
      </c>
      <c r="B19" s="18" t="inlineStr">
        <is>
          <t>Betrokken sessies</t>
        </is>
      </c>
      <c r="C19" s="19" t="inlineStr">
        <is>
          <t>x</t>
        </is>
      </c>
      <c r="D19" s="20">
        <f>IF(AND($C19="x",$A19&lt;&gt;""),$A19,"")</f>
        <v/>
      </c>
    </row>
    <row r="20">
      <c r="A20" s="9" t="inlineStr">
        <is>
          <t>newusers</t>
        </is>
      </c>
      <c r="B20" s="18" t="inlineStr">
        <is>
          <t>Nieuwe gebruikers</t>
        </is>
      </c>
      <c r="C20" s="19" t="inlineStr">
        <is>
          <t>x</t>
        </is>
      </c>
      <c r="D20" s="20">
        <f>IF(AND($C20="x",$A20&lt;&gt;""),$A20,"")</f>
        <v/>
      </c>
    </row>
    <row r="21">
      <c r="A21" s="9" t="inlineStr">
        <is>
          <t>conversions</t>
        </is>
      </c>
      <c r="B21" s="18" t="inlineStr">
        <is>
          <t>Key events</t>
        </is>
      </c>
      <c r="C21" s="19" t="inlineStr">
        <is>
          <t>x</t>
        </is>
      </c>
      <c r="D21" s="20">
        <f>IF(AND($C21="x",$A21&lt;&gt;""),$A21,"")</f>
        <v/>
      </c>
    </row>
    <row r="22">
      <c r="A22" s="9" t="inlineStr">
        <is>
          <t>purchase_revenue</t>
        </is>
      </c>
      <c r="B22" s="18" t="inlineStr">
        <is>
          <t>Omzet</t>
        </is>
      </c>
      <c r="C22" s="19" t="inlineStr">
        <is>
          <t>x</t>
        </is>
      </c>
      <c r="D22" s="20">
        <f>IF(AND($C22="x",$A22&lt;&gt;""),$A22,"")</f>
        <v/>
      </c>
    </row>
    <row r="23">
      <c r="A23" s="9" t="inlineStr">
        <is>
          <t>transactions</t>
        </is>
      </c>
      <c r="B23" s="18" t="inlineStr">
        <is>
          <t>Transacties</t>
        </is>
      </c>
      <c r="C23" s="19" t="inlineStr">
        <is>
          <t>x</t>
        </is>
      </c>
      <c r="D23" s="20">
        <f>IF(AND($C23="x",$A23&lt;&gt;""),$A23,"")</f>
        <v/>
      </c>
    </row>
    <row r="24">
      <c r="A24" s="9">
        <f>IF(Instellingen!$B$6&lt;&gt;"","conversions_"&amp;Instellingen!$B$6,"")</f>
        <v/>
      </c>
      <c r="B24" s="18" t="inlineStr">
        <is>
          <t>Hoofddoel per klant (Config 'Conversiedoel'); kop wordt 'Key event count for &lt;event&gt;'</t>
        </is>
      </c>
      <c r="C24" s="19" t="inlineStr">
        <is>
          <t>x</t>
        </is>
      </c>
      <c r="D24" s="20">
        <f>IF(AND($C24="x",$A24&lt;&gt;""),$A24,"")</f>
        <v/>
      </c>
    </row>
    <row r="25">
      <c r="A25" s="14" t="inlineStr">
        <is>
          <t>Eigen veld toevoegen: zet hieronder het Windsor-veld-id in kolom A en een x in kolom C (tot rij 80).</t>
        </is>
      </c>
    </row>
    <row r="26">
      <c r="A26" s="21" t="n"/>
      <c r="C26" s="21" t="n"/>
      <c r="D26" s="20">
        <f>IF(AND($C26="x",$A26&lt;&gt;""),$A26,"")</f>
        <v/>
      </c>
    </row>
    <row r="27">
      <c r="A27" s="21" t="n"/>
      <c r="C27" s="21" t="n"/>
      <c r="D27" s="20">
        <f>IF(AND($C27="x",$A27&lt;&gt;""),$A27,"")</f>
        <v/>
      </c>
    </row>
    <row r="28">
      <c r="A28" s="21" t="n"/>
      <c r="C28" s="21" t="n"/>
      <c r="D28" s="20">
        <f>IF(AND($C28="x",$A28&lt;&gt;""),$A28,"")</f>
        <v/>
      </c>
    </row>
    <row r="29">
      <c r="A29" s="21" t="n"/>
      <c r="C29" s="21" t="n"/>
      <c r="D29" s="20">
        <f>IF(AND($C29="x",$A29&lt;&gt;""),$A29,"")</f>
        <v/>
      </c>
    </row>
    <row r="30">
      <c r="A30" s="21" t="n"/>
      <c r="C30" s="21" t="n"/>
      <c r="D30" s="20">
        <f>IF(AND($C30="x",$A30&lt;&gt;""),$A30,"")</f>
        <v/>
      </c>
    </row>
    <row r="31">
      <c r="A31" s="21" t="n"/>
      <c r="C31" s="21" t="n"/>
      <c r="D31" s="20">
        <f>IF(AND($C31="x",$A31&lt;&gt;""),$A31,"")</f>
        <v/>
      </c>
    </row>
    <row r="32">
      <c r="A32" s="21" t="n"/>
      <c r="C32" s="21" t="n"/>
      <c r="D32" s="20">
        <f>IF(AND($C32="x",$A32&lt;&gt;""),$A32,"")</f>
        <v/>
      </c>
    </row>
    <row r="33">
      <c r="A33" s="21" t="n"/>
      <c r="C33" s="21" t="n"/>
      <c r="D33" s="20">
        <f>IF(AND($C33="x",$A33&lt;&gt;""),$A33,"")</f>
        <v/>
      </c>
    </row>
    <row r="34">
      <c r="A34" s="21" t="n"/>
      <c r="C34" s="21" t="n"/>
      <c r="D34" s="20">
        <f>IF(AND($C34="x",$A34&lt;&gt;""),$A34,"")</f>
        <v/>
      </c>
    </row>
    <row r="35">
      <c r="A35" s="21" t="n"/>
      <c r="C35" s="21" t="n"/>
      <c r="D35" s="20">
        <f>IF(AND($C35="x",$A35&lt;&gt;""),$A35,"")</f>
        <v/>
      </c>
    </row>
    <row r="36">
      <c r="A36" s="21" t="n"/>
      <c r="C36" s="21" t="n"/>
      <c r="D36" s="20">
        <f>IF(AND($C36="x",$A36&lt;&gt;""),$A36,"")</f>
        <v/>
      </c>
    </row>
    <row r="37">
      <c r="A37" s="21" t="n"/>
      <c r="C37" s="21" t="n"/>
      <c r="D37" s="20">
        <f>IF(AND($C37="x",$A37&lt;&gt;""),$A37,"")</f>
        <v/>
      </c>
    </row>
    <row r="38">
      <c r="A38" s="21" t="n"/>
      <c r="C38" s="21" t="n"/>
      <c r="D38" s="20">
        <f>IF(AND($C38="x",$A38&lt;&gt;""),$A38,"")</f>
        <v/>
      </c>
    </row>
    <row r="39">
      <c r="A39" s="21" t="n"/>
      <c r="C39" s="21" t="n"/>
      <c r="D39" s="20">
        <f>IF(AND($C39="x",$A39&lt;&gt;""),$A39,"")</f>
        <v/>
      </c>
    </row>
    <row r="40">
      <c r="A40" s="21" t="n"/>
      <c r="C40" s="21" t="n"/>
      <c r="D40" s="20">
        <f>IF(AND($C40="x",$A40&lt;&gt;""),$A40,"")</f>
        <v/>
      </c>
    </row>
    <row r="41">
      <c r="A41" s="21" t="n"/>
      <c r="C41" s="21" t="n"/>
      <c r="D41" s="20">
        <f>IF(AND($C41="x",$A41&lt;&gt;""),$A41,"")</f>
        <v/>
      </c>
    </row>
    <row r="42">
      <c r="A42" s="21" t="n"/>
      <c r="C42" s="21" t="n"/>
      <c r="D42" s="20">
        <f>IF(AND($C42="x",$A42&lt;&gt;""),$A42,"")</f>
        <v/>
      </c>
    </row>
    <row r="43">
      <c r="A43" s="21" t="n"/>
      <c r="C43" s="21" t="n"/>
      <c r="D43" s="20">
        <f>IF(AND($C43="x",$A43&lt;&gt;""),$A43,"")</f>
        <v/>
      </c>
    </row>
    <row r="44">
      <c r="A44" s="21" t="n"/>
      <c r="C44" s="21" t="n"/>
      <c r="D44" s="20">
        <f>IF(AND($C44="x",$A44&lt;&gt;""),$A44,"")</f>
        <v/>
      </c>
    </row>
    <row r="45">
      <c r="A45" s="21" t="n"/>
      <c r="C45" s="21" t="n"/>
      <c r="D45" s="20">
        <f>IF(AND($C45="x",$A45&lt;&gt;""),$A45,"")</f>
        <v/>
      </c>
    </row>
    <row r="46">
      <c r="A46" s="21" t="n"/>
      <c r="C46" s="21" t="n"/>
      <c r="D46" s="20">
        <f>IF(AND($C46="x",$A46&lt;&gt;""),$A46,"")</f>
        <v/>
      </c>
    </row>
    <row r="47">
      <c r="A47" s="21" t="n"/>
      <c r="C47" s="21" t="n"/>
      <c r="D47" s="20">
        <f>IF(AND($C47="x",$A47&lt;&gt;""),$A47,"")</f>
        <v/>
      </c>
    </row>
    <row r="48">
      <c r="A48" s="21" t="n"/>
      <c r="C48" s="21" t="n"/>
      <c r="D48" s="20">
        <f>IF(AND($C48="x",$A48&lt;&gt;""),$A48,"")</f>
        <v/>
      </c>
    </row>
    <row r="49">
      <c r="A49" s="21" t="n"/>
      <c r="C49" s="21" t="n"/>
      <c r="D49" s="20">
        <f>IF(AND($C49="x",$A49&lt;&gt;""),$A49,"")</f>
        <v/>
      </c>
    </row>
    <row r="50">
      <c r="A50" s="21" t="n"/>
      <c r="C50" s="21" t="n"/>
      <c r="D50" s="20">
        <f>IF(AND($C50="x",$A50&lt;&gt;""),$A50,"")</f>
        <v/>
      </c>
    </row>
    <row r="51">
      <c r="A51" s="21" t="n"/>
      <c r="C51" s="21" t="n"/>
      <c r="D51" s="20">
        <f>IF(AND($C51="x",$A51&lt;&gt;""),$A51,"")</f>
        <v/>
      </c>
    </row>
    <row r="52">
      <c r="A52" s="21" t="n"/>
      <c r="C52" s="21" t="n"/>
      <c r="D52" s="20">
        <f>IF(AND($C52="x",$A52&lt;&gt;""),$A52,"")</f>
        <v/>
      </c>
    </row>
    <row r="53">
      <c r="A53" s="21" t="n"/>
      <c r="C53" s="21" t="n"/>
      <c r="D53" s="20">
        <f>IF(AND($C53="x",$A53&lt;&gt;""),$A53,"")</f>
        <v/>
      </c>
    </row>
    <row r="54">
      <c r="A54" s="21" t="n"/>
      <c r="C54" s="21" t="n"/>
      <c r="D54" s="20">
        <f>IF(AND($C54="x",$A54&lt;&gt;""),$A54,"")</f>
        <v/>
      </c>
    </row>
    <row r="55">
      <c r="A55" s="21" t="n"/>
      <c r="C55" s="21" t="n"/>
      <c r="D55" s="20">
        <f>IF(AND($C55="x",$A55&lt;&gt;""),$A55,"")</f>
        <v/>
      </c>
    </row>
    <row r="56">
      <c r="A56" s="21" t="n"/>
      <c r="C56" s="21" t="n"/>
      <c r="D56" s="20">
        <f>IF(AND($C56="x",$A56&lt;&gt;""),$A56,"")</f>
        <v/>
      </c>
    </row>
    <row r="57">
      <c r="A57" s="21" t="n"/>
      <c r="C57" s="21" t="n"/>
      <c r="D57" s="20">
        <f>IF(AND($C57="x",$A57&lt;&gt;""),$A57,"")</f>
        <v/>
      </c>
    </row>
    <row r="58">
      <c r="A58" s="21" t="n"/>
      <c r="C58" s="21" t="n"/>
      <c r="D58" s="20">
        <f>IF(AND($C58="x",$A58&lt;&gt;""),$A58,"")</f>
        <v/>
      </c>
    </row>
    <row r="59">
      <c r="A59" s="21" t="n"/>
      <c r="C59" s="21" t="n"/>
      <c r="D59" s="20">
        <f>IF(AND($C59="x",$A59&lt;&gt;""),$A59,"")</f>
        <v/>
      </c>
    </row>
    <row r="60">
      <c r="A60" s="21" t="n"/>
      <c r="C60" s="21" t="n"/>
      <c r="D60" s="20">
        <f>IF(AND($C60="x",$A60&lt;&gt;""),$A60,"")</f>
        <v/>
      </c>
    </row>
    <row r="61">
      <c r="A61" s="21" t="n"/>
      <c r="C61" s="21" t="n"/>
      <c r="D61" s="20">
        <f>IF(AND($C61="x",$A61&lt;&gt;""),$A61,"")</f>
        <v/>
      </c>
    </row>
    <row r="62">
      <c r="A62" s="21" t="n"/>
      <c r="C62" s="21" t="n"/>
      <c r="D62" s="20">
        <f>IF(AND($C62="x",$A62&lt;&gt;""),$A62,"")</f>
        <v/>
      </c>
    </row>
    <row r="63">
      <c r="A63" s="21" t="n"/>
      <c r="C63" s="21" t="n"/>
      <c r="D63" s="20">
        <f>IF(AND($C63="x",$A63&lt;&gt;""),$A63,"")</f>
        <v/>
      </c>
    </row>
    <row r="64">
      <c r="A64" s="21" t="n"/>
      <c r="C64" s="21" t="n"/>
      <c r="D64" s="20">
        <f>IF(AND($C64="x",$A64&lt;&gt;""),$A64,"")</f>
        <v/>
      </c>
    </row>
    <row r="65">
      <c r="A65" s="21" t="n"/>
      <c r="C65" s="21" t="n"/>
      <c r="D65" s="20">
        <f>IF(AND($C65="x",$A65&lt;&gt;""),$A65,"")</f>
        <v/>
      </c>
    </row>
    <row r="66">
      <c r="A66" s="21" t="n"/>
      <c r="C66" s="21" t="n"/>
      <c r="D66" s="20">
        <f>IF(AND($C66="x",$A66&lt;&gt;""),$A66,"")</f>
        <v/>
      </c>
    </row>
    <row r="67">
      <c r="A67" s="21" t="n"/>
      <c r="C67" s="21" t="n"/>
      <c r="D67" s="20">
        <f>IF(AND($C67="x",$A67&lt;&gt;""),$A67,"")</f>
        <v/>
      </c>
    </row>
    <row r="68">
      <c r="A68" s="21" t="n"/>
      <c r="C68" s="21" t="n"/>
      <c r="D68" s="20">
        <f>IF(AND($C68="x",$A68&lt;&gt;""),$A68,"")</f>
        <v/>
      </c>
    </row>
    <row r="69">
      <c r="A69" s="21" t="n"/>
      <c r="C69" s="21" t="n"/>
      <c r="D69" s="20">
        <f>IF(AND($C69="x",$A69&lt;&gt;""),$A69,"")</f>
        <v/>
      </c>
    </row>
    <row r="70">
      <c r="A70" s="21" t="n"/>
      <c r="C70" s="21" t="n"/>
      <c r="D70" s="20">
        <f>IF(AND($C70="x",$A70&lt;&gt;""),$A70,"")</f>
        <v/>
      </c>
    </row>
    <row r="71">
      <c r="A71" s="21" t="n"/>
      <c r="C71" s="21" t="n"/>
      <c r="D71" s="20">
        <f>IF(AND($C71="x",$A71&lt;&gt;""),$A71,"")</f>
        <v/>
      </c>
    </row>
    <row r="72">
      <c r="A72" s="21" t="n"/>
      <c r="C72" s="21" t="n"/>
      <c r="D72" s="20">
        <f>IF(AND($C72="x",$A72&lt;&gt;""),$A72,"")</f>
        <v/>
      </c>
    </row>
    <row r="73">
      <c r="A73" s="21" t="n"/>
      <c r="C73" s="21" t="n"/>
      <c r="D73" s="20">
        <f>IF(AND($C73="x",$A73&lt;&gt;""),$A73,"")</f>
        <v/>
      </c>
    </row>
    <row r="74">
      <c r="A74" s="21" t="n"/>
      <c r="C74" s="21" t="n"/>
      <c r="D74" s="20">
        <f>IF(AND($C74="x",$A74&lt;&gt;""),$A74,"")</f>
        <v/>
      </c>
    </row>
    <row r="75">
      <c r="A75" s="21" t="n"/>
      <c r="C75" s="21" t="n"/>
      <c r="D75" s="20">
        <f>IF(AND($C75="x",$A75&lt;&gt;""),$A75,"")</f>
        <v/>
      </c>
    </row>
    <row r="76">
      <c r="A76" s="21" t="n"/>
      <c r="C76" s="21" t="n"/>
      <c r="D76" s="20">
        <f>IF(AND($C76="x",$A76&lt;&gt;""),$A76,"")</f>
        <v/>
      </c>
    </row>
    <row r="77">
      <c r="A77" s="21" t="n"/>
      <c r="C77" s="21" t="n"/>
      <c r="D77" s="20">
        <f>IF(AND($C77="x",$A77&lt;&gt;""),$A77,"")</f>
        <v/>
      </c>
    </row>
    <row r="78">
      <c r="A78" s="21" t="n"/>
      <c r="C78" s="21" t="n"/>
      <c r="D78" s="20">
        <f>IF(AND($C78="x",$A78&lt;&gt;""),$A78,"")</f>
        <v/>
      </c>
    </row>
    <row r="79">
      <c r="A79" s="21" t="n"/>
      <c r="C79" s="21" t="n"/>
      <c r="D79" s="20">
        <f>IF(AND($C79="x",$A79&lt;&gt;""),$A79,"")</f>
        <v/>
      </c>
    </row>
    <row r="80">
      <c r="A80" s="21" t="n"/>
      <c r="C80" s="21" t="n"/>
      <c r="D80" s="20">
        <f>IF(AND($C80="x",$A80&lt;&gt;""),$A80,"")</f>
        <v/>
      </c>
    </row>
  </sheetData>
  <mergeCells count="2">
    <mergeCell ref="A25:C25"/>
    <mergeCell ref="B8:D8"/>
  </mergeCells>
  <dataValidations count="1">
    <dataValidation sqref="C12 C13 C14 C15 C16 C17 C18 C19 C20 C21 C22 C23 C24 C25 C26 C27 C28 C29 C30 C31 C32 C33 C34 C35 C36 C37 C38 C39 C40 C41 C42 C43 C44 C45 C46 C47 C48 C49 C50 C51 C52 C53 C54 C55 C56 C57 C58 C59 C60 C61 C62 C63 C64 C65 C66 C67 C68 C69 C70 C71 C72 C73 C74 C75 C76 C77 C78 C79 C80" showDropDown="0" showInputMessage="0" showErrorMessage="1" allowBlank="1" errorTitle="Alleen x" error="Zet een x om het veld op te nemen, of laat de cel leeg." type="list">
      <formula1>"x"</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80"/>
  <sheetViews>
    <sheetView workbookViewId="0">
      <pane ySplit="11" topLeftCell="A12" activePane="bottomLeft" state="frozen"/>
      <selection pane="bottomLeft" activeCell="A1" sqref="A1"/>
    </sheetView>
  </sheetViews>
  <sheetFormatPr baseColWidth="8" defaultRowHeight="15"/>
  <cols>
    <col width="44" customWidth="1" min="1" max="1"/>
    <col width="62" customWidth="1" min="2" max="2"/>
    <col width="13" customWidth="1" min="3" max="3"/>
    <col hidden="1" width="10" customWidth="1" min="4" max="4"/>
  </cols>
  <sheetData>
    <row r="1">
      <c r="A1" s="13" t="inlineStr">
        <is>
          <t>Windsor-export: Search Console dag</t>
        </is>
      </c>
      <c r="C1" s="14" t="inlineStr">
        <is>
          <t>Status: Aanbevolen · Website → organisch zoeken (totalen)</t>
        </is>
      </c>
    </row>
    <row r="2">
      <c r="A2" s="3" t="inlineStr">
        <is>
          <t>Connector</t>
        </is>
      </c>
      <c r="B2" s="6" t="inlineStr">
        <is>
          <t>searchconsole</t>
        </is>
      </c>
    </row>
    <row r="3">
      <c r="A3" s="3" t="inlineStr">
        <is>
          <t>Account-id (uit Instellingen)</t>
        </is>
      </c>
      <c r="B3" s="15">
        <f>Instellingen!$B$13</f>
        <v/>
      </c>
    </row>
    <row r="4">
      <c r="A4" s="3" t="inlineStr">
        <is>
          <t>Taaknaam (Task name)</t>
        </is>
      </c>
      <c r="B4" s="15">
        <f>"Windsor - Sheets - Search Console dag - "&amp;Instellingen!$B$3</f>
        <v/>
      </c>
    </row>
    <row r="5">
      <c r="A5" s="3" t="inlineStr">
        <is>
          <t>Tabnaam (Sheet Name)</t>
        </is>
      </c>
      <c r="B5" s="15">
        <f>"Search Console - dag - "&amp;Instellingen!$B$3&amp;" - windsor.ai"</f>
        <v/>
      </c>
      <c r="C5" s="12" t="inlineStr">
        <is>
          <t>Herkenning in api/_sheetdata.js gaat op bron + niveau in deze naam; hou het voorstel aan.</t>
        </is>
      </c>
    </row>
    <row r="6">
      <c r="A6" s="3" t="inlineStr">
        <is>
          <t>Columns to Match (rows to replace)</t>
        </is>
      </c>
      <c r="B6" s="6" t="inlineStr">
        <is>
          <t>date</t>
        </is>
      </c>
      <c r="C6" s="12" t="inlineStr">
        <is>
          <t>Voorstel; zoals bij de bestaande exports.</t>
        </is>
      </c>
    </row>
    <row r="7">
      <c r="A7" s="3" t="inlineStr">
        <is>
          <t>Schedule</t>
        </is>
      </c>
      <c r="B7" s="6" t="inlineStr">
        <is>
          <t>Daily · 00:00 UTC · Target Cell A1 · Authentication: Google Account</t>
        </is>
      </c>
    </row>
    <row r="8" ht="90" customHeight="1">
      <c r="A8" s="3" t="inlineStr">
        <is>
          <t>Query (gegenereerd — api_key blijft leeg)</t>
        </is>
      </c>
      <c r="B8" s="16">
        <f>"https://connectors.windsor.ai/"&amp;$B$2&amp;"?api_key="&amp;IF(Instellingen!$B$4&lt;&gt;"","&amp;date_preset="&amp;Instellingen!$B$4,"")&amp;"&amp;fields="&amp;_xlfn.TEXTJOIN(",",TRUE,$D$12:$D$80)&amp;IF($B$3&lt;&gt;"","&amp;select_accounts="&amp;$B$3,"")&amp;IF(Instellingen!$B$5&lt;&gt;"","&amp;_field_headers="&amp;Instellingen!$B$5,"")</f>
        <v/>
      </c>
    </row>
    <row r="9">
      <c r="A9" s="3" t="inlineStr">
        <is>
          <t>Aantal velden in de query</t>
        </is>
      </c>
      <c r="B9" s="17">
        <f>COUNTIF($C$12:$C$80,"x")</f>
        <v/>
      </c>
    </row>
    <row r="11">
      <c r="A11" s="8" t="inlineStr">
        <is>
          <t>Veld (Windsor-id)</t>
        </is>
      </c>
      <c r="B11" s="8" t="inlineStr">
        <is>
          <t>Gebruik in het dashboard</t>
        </is>
      </c>
      <c r="C11" s="8" t="inlineStr">
        <is>
          <t>Opnemen (x)</t>
        </is>
      </c>
      <c r="D11" s="8" t="inlineStr">
        <is>
          <t>→ query</t>
        </is>
      </c>
    </row>
    <row r="12">
      <c r="A12" s="9" t="inlineStr">
        <is>
          <t>date</t>
        </is>
      </c>
      <c r="B12" s="18" t="inlineStr">
        <is>
          <t>Datumkolom: 'Columns to Match' en periodefilter</t>
        </is>
      </c>
      <c r="C12" s="19" t="inlineStr">
        <is>
          <t>x</t>
        </is>
      </c>
      <c r="D12" s="20">
        <f>IF(AND($C12="x",$A12&lt;&gt;""),$A12,"")</f>
        <v/>
      </c>
    </row>
    <row r="13">
      <c r="A13" s="9" t="inlineStr">
        <is>
          <t>account_id</t>
        </is>
      </c>
      <c r="B13" s="18" t="inlineStr">
        <is>
          <t>Accountcontrole: alleen rijen van dit account tellen mee</t>
        </is>
      </c>
      <c r="C13" s="19" t="inlineStr">
        <is>
          <t>x</t>
        </is>
      </c>
      <c r="D13" s="20">
        <f>IF(AND($C13="x",$A13&lt;&gt;""),$A13,"")</f>
        <v/>
      </c>
    </row>
    <row r="14">
      <c r="A14" s="9" t="inlineStr">
        <is>
          <t>account_name</t>
        </is>
      </c>
      <c r="B14" s="18" t="inlineStr">
        <is>
          <t>Idem, leesbaar</t>
        </is>
      </c>
      <c r="C14" s="19" t="inlineStr">
        <is>
          <t>x</t>
        </is>
      </c>
      <c r="D14" s="20">
        <f>IF(AND($C14="x",$A14&lt;&gt;""),$A14,"")</f>
        <v/>
      </c>
    </row>
    <row r="15">
      <c r="A15" s="9" t="inlineStr">
        <is>
          <t>clicks</t>
        </is>
      </c>
      <c r="B15" s="18" t="inlineStr">
        <is>
          <t>Kliks</t>
        </is>
      </c>
      <c r="C15" s="19" t="inlineStr">
        <is>
          <t>x</t>
        </is>
      </c>
      <c r="D15" s="20">
        <f>IF(AND($C15="x",$A15&lt;&gt;""),$A15,"")</f>
        <v/>
      </c>
    </row>
    <row r="16">
      <c r="A16" s="9" t="inlineStr">
        <is>
          <t>impressions</t>
        </is>
      </c>
      <c r="B16" s="18" t="inlineStr">
        <is>
          <t>Vertoningen</t>
        </is>
      </c>
      <c r="C16" s="19" t="inlineStr">
        <is>
          <t>x</t>
        </is>
      </c>
      <c r="D16" s="20">
        <f>IF(AND($C16="x",$A16&lt;&gt;""),$A16,"")</f>
        <v/>
      </c>
    </row>
    <row r="17">
      <c r="A17" s="9" t="inlineStr">
        <is>
          <t>position</t>
        </is>
      </c>
      <c r="B17" s="18" t="inlineStr">
        <is>
          <t>Positie (UI weegt naar vertoningen)</t>
        </is>
      </c>
      <c r="C17" s="19" t="inlineStr">
        <is>
          <t>x</t>
        </is>
      </c>
      <c r="D17" s="20">
        <f>IF(AND($C17="x",$A17&lt;&gt;""),$A17,"")</f>
        <v/>
      </c>
    </row>
    <row r="18">
      <c r="A18" s="14" t="inlineStr">
        <is>
          <t>Eigen veld toevoegen: zet hieronder het Windsor-veld-id in kolom A en een x in kolom C (tot rij 80).</t>
        </is>
      </c>
    </row>
    <row r="19">
      <c r="A19" s="21" t="n"/>
      <c r="C19" s="21" t="n"/>
      <c r="D19" s="20">
        <f>IF(AND($C19="x",$A19&lt;&gt;""),$A19,"")</f>
        <v/>
      </c>
    </row>
    <row r="20">
      <c r="A20" s="21" t="n"/>
      <c r="C20" s="21" t="n"/>
      <c r="D20" s="20">
        <f>IF(AND($C20="x",$A20&lt;&gt;""),$A20,"")</f>
        <v/>
      </c>
    </row>
    <row r="21">
      <c r="A21" s="21" t="n"/>
      <c r="C21" s="21" t="n"/>
      <c r="D21" s="20">
        <f>IF(AND($C21="x",$A21&lt;&gt;""),$A21,"")</f>
        <v/>
      </c>
    </row>
    <row r="22">
      <c r="A22" s="21" t="n"/>
      <c r="C22" s="21" t="n"/>
      <c r="D22" s="20">
        <f>IF(AND($C22="x",$A22&lt;&gt;""),$A22,"")</f>
        <v/>
      </c>
    </row>
    <row r="23">
      <c r="A23" s="21" t="n"/>
      <c r="C23" s="21" t="n"/>
      <c r="D23" s="20">
        <f>IF(AND($C23="x",$A23&lt;&gt;""),$A23,"")</f>
        <v/>
      </c>
    </row>
    <row r="24">
      <c r="A24" s="21" t="n"/>
      <c r="C24" s="21" t="n"/>
      <c r="D24" s="20">
        <f>IF(AND($C24="x",$A24&lt;&gt;""),$A24,"")</f>
        <v/>
      </c>
    </row>
    <row r="25">
      <c r="A25" s="21" t="n"/>
      <c r="C25" s="21" t="n"/>
      <c r="D25" s="20">
        <f>IF(AND($C25="x",$A25&lt;&gt;""),$A25,"")</f>
        <v/>
      </c>
    </row>
    <row r="26">
      <c r="A26" s="21" t="n"/>
      <c r="C26" s="21" t="n"/>
      <c r="D26" s="20">
        <f>IF(AND($C26="x",$A26&lt;&gt;""),$A26,"")</f>
        <v/>
      </c>
    </row>
    <row r="27">
      <c r="A27" s="21" t="n"/>
      <c r="C27" s="21" t="n"/>
      <c r="D27" s="20">
        <f>IF(AND($C27="x",$A27&lt;&gt;""),$A27,"")</f>
        <v/>
      </c>
    </row>
    <row r="28">
      <c r="A28" s="21" t="n"/>
      <c r="C28" s="21" t="n"/>
      <c r="D28" s="20">
        <f>IF(AND($C28="x",$A28&lt;&gt;""),$A28,"")</f>
        <v/>
      </c>
    </row>
    <row r="29">
      <c r="A29" s="21" t="n"/>
      <c r="C29" s="21" t="n"/>
      <c r="D29" s="20">
        <f>IF(AND($C29="x",$A29&lt;&gt;""),$A29,"")</f>
        <v/>
      </c>
    </row>
    <row r="30">
      <c r="A30" s="21" t="n"/>
      <c r="C30" s="21" t="n"/>
      <c r="D30" s="20">
        <f>IF(AND($C30="x",$A30&lt;&gt;""),$A30,"")</f>
        <v/>
      </c>
    </row>
    <row r="31">
      <c r="A31" s="21" t="n"/>
      <c r="C31" s="21" t="n"/>
      <c r="D31" s="20">
        <f>IF(AND($C31="x",$A31&lt;&gt;""),$A31,"")</f>
        <v/>
      </c>
    </row>
    <row r="32">
      <c r="A32" s="21" t="n"/>
      <c r="C32" s="21" t="n"/>
      <c r="D32" s="20">
        <f>IF(AND($C32="x",$A32&lt;&gt;""),$A32,"")</f>
        <v/>
      </c>
    </row>
    <row r="33">
      <c r="A33" s="21" t="n"/>
      <c r="C33" s="21" t="n"/>
      <c r="D33" s="20">
        <f>IF(AND($C33="x",$A33&lt;&gt;""),$A33,"")</f>
        <v/>
      </c>
    </row>
    <row r="34">
      <c r="A34" s="21" t="n"/>
      <c r="C34" s="21" t="n"/>
      <c r="D34" s="20">
        <f>IF(AND($C34="x",$A34&lt;&gt;""),$A34,"")</f>
        <v/>
      </c>
    </row>
    <row r="35">
      <c r="A35" s="21" t="n"/>
      <c r="C35" s="21" t="n"/>
      <c r="D35" s="20">
        <f>IF(AND($C35="x",$A35&lt;&gt;""),$A35,"")</f>
        <v/>
      </c>
    </row>
    <row r="36">
      <c r="A36" s="21" t="n"/>
      <c r="C36" s="21" t="n"/>
      <c r="D36" s="20">
        <f>IF(AND($C36="x",$A36&lt;&gt;""),$A36,"")</f>
        <v/>
      </c>
    </row>
    <row r="37">
      <c r="A37" s="21" t="n"/>
      <c r="C37" s="21" t="n"/>
      <c r="D37" s="20">
        <f>IF(AND($C37="x",$A37&lt;&gt;""),$A37,"")</f>
        <v/>
      </c>
    </row>
    <row r="38">
      <c r="A38" s="21" t="n"/>
      <c r="C38" s="21" t="n"/>
      <c r="D38" s="20">
        <f>IF(AND($C38="x",$A38&lt;&gt;""),$A38,"")</f>
        <v/>
      </c>
    </row>
    <row r="39">
      <c r="A39" s="21" t="n"/>
      <c r="C39" s="21" t="n"/>
      <c r="D39" s="20">
        <f>IF(AND($C39="x",$A39&lt;&gt;""),$A39,"")</f>
        <v/>
      </c>
    </row>
    <row r="40">
      <c r="A40" s="21" t="n"/>
      <c r="C40" s="21" t="n"/>
      <c r="D40" s="20">
        <f>IF(AND($C40="x",$A40&lt;&gt;""),$A40,"")</f>
        <v/>
      </c>
    </row>
    <row r="41">
      <c r="A41" s="21" t="n"/>
      <c r="C41" s="21" t="n"/>
      <c r="D41" s="20">
        <f>IF(AND($C41="x",$A41&lt;&gt;""),$A41,"")</f>
        <v/>
      </c>
    </row>
    <row r="42">
      <c r="A42" s="21" t="n"/>
      <c r="C42" s="21" t="n"/>
      <c r="D42" s="20">
        <f>IF(AND($C42="x",$A42&lt;&gt;""),$A42,"")</f>
        <v/>
      </c>
    </row>
    <row r="43">
      <c r="A43" s="21" t="n"/>
      <c r="C43" s="21" t="n"/>
      <c r="D43" s="20">
        <f>IF(AND($C43="x",$A43&lt;&gt;""),$A43,"")</f>
        <v/>
      </c>
    </row>
    <row r="44">
      <c r="A44" s="21" t="n"/>
      <c r="C44" s="21" t="n"/>
      <c r="D44" s="20">
        <f>IF(AND($C44="x",$A44&lt;&gt;""),$A44,"")</f>
        <v/>
      </c>
    </row>
    <row r="45">
      <c r="A45" s="21" t="n"/>
      <c r="C45" s="21" t="n"/>
      <c r="D45" s="20">
        <f>IF(AND($C45="x",$A45&lt;&gt;""),$A45,"")</f>
        <v/>
      </c>
    </row>
    <row r="46">
      <c r="A46" s="21" t="n"/>
      <c r="C46" s="21" t="n"/>
      <c r="D46" s="20">
        <f>IF(AND($C46="x",$A46&lt;&gt;""),$A46,"")</f>
        <v/>
      </c>
    </row>
    <row r="47">
      <c r="A47" s="21" t="n"/>
      <c r="C47" s="21" t="n"/>
      <c r="D47" s="20">
        <f>IF(AND($C47="x",$A47&lt;&gt;""),$A47,"")</f>
        <v/>
      </c>
    </row>
    <row r="48">
      <c r="A48" s="21" t="n"/>
      <c r="C48" s="21" t="n"/>
      <c r="D48" s="20">
        <f>IF(AND($C48="x",$A48&lt;&gt;""),$A48,"")</f>
        <v/>
      </c>
    </row>
    <row r="49">
      <c r="A49" s="21" t="n"/>
      <c r="C49" s="21" t="n"/>
      <c r="D49" s="20">
        <f>IF(AND($C49="x",$A49&lt;&gt;""),$A49,"")</f>
        <v/>
      </c>
    </row>
    <row r="50">
      <c r="A50" s="21" t="n"/>
      <c r="C50" s="21" t="n"/>
      <c r="D50" s="20">
        <f>IF(AND($C50="x",$A50&lt;&gt;""),$A50,"")</f>
        <v/>
      </c>
    </row>
    <row r="51">
      <c r="A51" s="21" t="n"/>
      <c r="C51" s="21" t="n"/>
      <c r="D51" s="20">
        <f>IF(AND($C51="x",$A51&lt;&gt;""),$A51,"")</f>
        <v/>
      </c>
    </row>
    <row r="52">
      <c r="A52" s="21" t="n"/>
      <c r="C52" s="21" t="n"/>
      <c r="D52" s="20">
        <f>IF(AND($C52="x",$A52&lt;&gt;""),$A52,"")</f>
        <v/>
      </c>
    </row>
    <row r="53">
      <c r="A53" s="21" t="n"/>
      <c r="C53" s="21" t="n"/>
      <c r="D53" s="20">
        <f>IF(AND($C53="x",$A53&lt;&gt;""),$A53,"")</f>
        <v/>
      </c>
    </row>
    <row r="54">
      <c r="A54" s="21" t="n"/>
      <c r="C54" s="21" t="n"/>
      <c r="D54" s="20">
        <f>IF(AND($C54="x",$A54&lt;&gt;""),$A54,"")</f>
        <v/>
      </c>
    </row>
    <row r="55">
      <c r="A55" s="21" t="n"/>
      <c r="C55" s="21" t="n"/>
      <c r="D55" s="20">
        <f>IF(AND($C55="x",$A55&lt;&gt;""),$A55,"")</f>
        <v/>
      </c>
    </row>
    <row r="56">
      <c r="A56" s="21" t="n"/>
      <c r="C56" s="21" t="n"/>
      <c r="D56" s="20">
        <f>IF(AND($C56="x",$A56&lt;&gt;""),$A56,"")</f>
        <v/>
      </c>
    </row>
    <row r="57">
      <c r="A57" s="21" t="n"/>
      <c r="C57" s="21" t="n"/>
      <c r="D57" s="20">
        <f>IF(AND($C57="x",$A57&lt;&gt;""),$A57,"")</f>
        <v/>
      </c>
    </row>
    <row r="58">
      <c r="A58" s="21" t="n"/>
      <c r="C58" s="21" t="n"/>
      <c r="D58" s="20">
        <f>IF(AND($C58="x",$A58&lt;&gt;""),$A58,"")</f>
        <v/>
      </c>
    </row>
    <row r="59">
      <c r="A59" s="21" t="n"/>
      <c r="C59" s="21" t="n"/>
      <c r="D59" s="20">
        <f>IF(AND($C59="x",$A59&lt;&gt;""),$A59,"")</f>
        <v/>
      </c>
    </row>
    <row r="60">
      <c r="A60" s="21" t="n"/>
      <c r="C60" s="21" t="n"/>
      <c r="D60" s="20">
        <f>IF(AND($C60="x",$A60&lt;&gt;""),$A60,"")</f>
        <v/>
      </c>
    </row>
    <row r="61">
      <c r="A61" s="21" t="n"/>
      <c r="C61" s="21" t="n"/>
      <c r="D61" s="20">
        <f>IF(AND($C61="x",$A61&lt;&gt;""),$A61,"")</f>
        <v/>
      </c>
    </row>
    <row r="62">
      <c r="A62" s="21" t="n"/>
      <c r="C62" s="21" t="n"/>
      <c r="D62" s="20">
        <f>IF(AND($C62="x",$A62&lt;&gt;""),$A62,"")</f>
        <v/>
      </c>
    </row>
    <row r="63">
      <c r="A63" s="21" t="n"/>
      <c r="C63" s="21" t="n"/>
      <c r="D63" s="20">
        <f>IF(AND($C63="x",$A63&lt;&gt;""),$A63,"")</f>
        <v/>
      </c>
    </row>
    <row r="64">
      <c r="A64" s="21" t="n"/>
      <c r="C64" s="21" t="n"/>
      <c r="D64" s="20">
        <f>IF(AND($C64="x",$A64&lt;&gt;""),$A64,"")</f>
        <v/>
      </c>
    </row>
    <row r="65">
      <c r="A65" s="21" t="n"/>
      <c r="C65" s="21" t="n"/>
      <c r="D65" s="20">
        <f>IF(AND($C65="x",$A65&lt;&gt;""),$A65,"")</f>
        <v/>
      </c>
    </row>
    <row r="66">
      <c r="A66" s="21" t="n"/>
      <c r="C66" s="21" t="n"/>
      <c r="D66" s="20">
        <f>IF(AND($C66="x",$A66&lt;&gt;""),$A66,"")</f>
        <v/>
      </c>
    </row>
    <row r="67">
      <c r="A67" s="21" t="n"/>
      <c r="C67" s="21" t="n"/>
      <c r="D67" s="20">
        <f>IF(AND($C67="x",$A67&lt;&gt;""),$A67,"")</f>
        <v/>
      </c>
    </row>
    <row r="68">
      <c r="A68" s="21" t="n"/>
      <c r="C68" s="21" t="n"/>
      <c r="D68" s="20">
        <f>IF(AND($C68="x",$A68&lt;&gt;""),$A68,"")</f>
        <v/>
      </c>
    </row>
    <row r="69">
      <c r="A69" s="21" t="n"/>
      <c r="C69" s="21" t="n"/>
      <c r="D69" s="20">
        <f>IF(AND($C69="x",$A69&lt;&gt;""),$A69,"")</f>
        <v/>
      </c>
    </row>
    <row r="70">
      <c r="A70" s="21" t="n"/>
      <c r="C70" s="21" t="n"/>
      <c r="D70" s="20">
        <f>IF(AND($C70="x",$A70&lt;&gt;""),$A70,"")</f>
        <v/>
      </c>
    </row>
    <row r="71">
      <c r="A71" s="21" t="n"/>
      <c r="C71" s="21" t="n"/>
      <c r="D71" s="20">
        <f>IF(AND($C71="x",$A71&lt;&gt;""),$A71,"")</f>
        <v/>
      </c>
    </row>
    <row r="72">
      <c r="A72" s="21" t="n"/>
      <c r="C72" s="21" t="n"/>
      <c r="D72" s="20">
        <f>IF(AND($C72="x",$A72&lt;&gt;""),$A72,"")</f>
        <v/>
      </c>
    </row>
    <row r="73">
      <c r="A73" s="21" t="n"/>
      <c r="C73" s="21" t="n"/>
      <c r="D73" s="20">
        <f>IF(AND($C73="x",$A73&lt;&gt;""),$A73,"")</f>
        <v/>
      </c>
    </row>
    <row r="74">
      <c r="A74" s="21" t="n"/>
      <c r="C74" s="21" t="n"/>
      <c r="D74" s="20">
        <f>IF(AND($C74="x",$A74&lt;&gt;""),$A74,"")</f>
        <v/>
      </c>
    </row>
    <row r="75">
      <c r="A75" s="21" t="n"/>
      <c r="C75" s="21" t="n"/>
      <c r="D75" s="20">
        <f>IF(AND($C75="x",$A75&lt;&gt;""),$A75,"")</f>
        <v/>
      </c>
    </row>
    <row r="76">
      <c r="A76" s="21" t="n"/>
      <c r="C76" s="21" t="n"/>
      <c r="D76" s="20">
        <f>IF(AND($C76="x",$A76&lt;&gt;""),$A76,"")</f>
        <v/>
      </c>
    </row>
    <row r="77">
      <c r="A77" s="21" t="n"/>
      <c r="C77" s="21" t="n"/>
      <c r="D77" s="20">
        <f>IF(AND($C77="x",$A77&lt;&gt;""),$A77,"")</f>
        <v/>
      </c>
    </row>
    <row r="78">
      <c r="A78" s="21" t="n"/>
      <c r="C78" s="21" t="n"/>
      <c r="D78" s="20">
        <f>IF(AND($C78="x",$A78&lt;&gt;""),$A78,"")</f>
        <v/>
      </c>
    </row>
    <row r="79">
      <c r="A79" s="21" t="n"/>
      <c r="C79" s="21" t="n"/>
      <c r="D79" s="20">
        <f>IF(AND($C79="x",$A79&lt;&gt;""),$A79,"")</f>
        <v/>
      </c>
    </row>
    <row r="80">
      <c r="A80" s="21" t="n"/>
      <c r="C80" s="21" t="n"/>
      <c r="D80" s="20">
        <f>IF(AND($C80="x",$A80&lt;&gt;""),$A80,"")</f>
        <v/>
      </c>
    </row>
  </sheetData>
  <mergeCells count="2">
    <mergeCell ref="A18:C18"/>
    <mergeCell ref="B8:D8"/>
  </mergeCells>
  <dataValidations count="1">
    <dataValidation sqref="C12 C13 C14 C15 C16 C17 C18 C19 C20 C21 C22 C23 C24 C25 C26 C27 C28 C29 C30 C31 C32 C33 C34 C35 C36 C37 C38 C39 C40 C41 C42 C43 C44 C45 C46 C47 C48 C49 C50 C51 C52 C53 C54 C55 C56 C57 C58 C59 C60 C61 C62 C63 C64 C65 C66 C67 C68 C69 C70 C71 C72 C73 C74 C75 C76 C77 C78 C79 C80" showDropDown="0" showInputMessage="0" showErrorMessage="1" allowBlank="1" errorTitle="Alleen x" error="Zet een x om het veld op te nemen, of laat de cel leeg." type="list">
      <formula1>"x"</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80"/>
  <sheetViews>
    <sheetView workbookViewId="0">
      <pane ySplit="11" topLeftCell="A12" activePane="bottomLeft" state="frozen"/>
      <selection pane="bottomLeft" activeCell="A1" sqref="A1"/>
    </sheetView>
  </sheetViews>
  <sheetFormatPr baseColWidth="8" defaultRowHeight="15"/>
  <cols>
    <col width="44" customWidth="1" min="1" max="1"/>
    <col width="62" customWidth="1" min="2" max="2"/>
    <col width="13" customWidth="1" min="3" max="3"/>
    <col hidden="1" width="10" customWidth="1" min="4" max="4"/>
  </cols>
  <sheetData>
    <row r="1">
      <c r="A1" s="13" t="inlineStr">
        <is>
          <t>Windsor-export: Search Console query</t>
        </is>
      </c>
      <c r="C1" s="14" t="inlineStr">
        <is>
          <t>Status: Aanbevolen · Website → zoekopdrachten</t>
        </is>
      </c>
    </row>
    <row r="2">
      <c r="A2" s="3" t="inlineStr">
        <is>
          <t>Connector</t>
        </is>
      </c>
      <c r="B2" s="6" t="inlineStr">
        <is>
          <t>searchconsole</t>
        </is>
      </c>
    </row>
    <row r="3">
      <c r="A3" s="3" t="inlineStr">
        <is>
          <t>Account-id (uit Instellingen)</t>
        </is>
      </c>
      <c r="B3" s="15">
        <f>Instellingen!$B$13</f>
        <v/>
      </c>
    </row>
    <row r="4">
      <c r="A4" s="3" t="inlineStr">
        <is>
          <t>Taaknaam (Task name)</t>
        </is>
      </c>
      <c r="B4" s="15">
        <f>"Windsor - Sheets - Search Console query - "&amp;Instellingen!$B$3</f>
        <v/>
      </c>
    </row>
    <row r="5">
      <c r="A5" s="3" t="inlineStr">
        <is>
          <t>Tabnaam (Sheet Name)</t>
        </is>
      </c>
      <c r="B5" s="15">
        <f>"Search Console - query - "&amp;Instellingen!$B$3&amp;" - windsor.ai"</f>
        <v/>
      </c>
      <c r="C5" s="12" t="inlineStr">
        <is>
          <t>Herkenning in api/_sheetdata.js gaat op bron + niveau in deze naam; hou het voorstel aan.</t>
        </is>
      </c>
    </row>
    <row r="6">
      <c r="A6" s="3" t="inlineStr">
        <is>
          <t>Columns to Match (rows to replace)</t>
        </is>
      </c>
      <c r="B6" s="6" t="inlineStr">
        <is>
          <t>date</t>
        </is>
      </c>
      <c r="C6" s="12" t="inlineStr">
        <is>
          <t>Voorstel; zoals bij de bestaande exports.</t>
        </is>
      </c>
    </row>
    <row r="7">
      <c r="A7" s="3" t="inlineStr">
        <is>
          <t>Schedule</t>
        </is>
      </c>
      <c r="B7" s="6" t="inlineStr">
        <is>
          <t>Daily · 00:00 UTC · Target Cell A1 · Authentication: Google Account</t>
        </is>
      </c>
    </row>
    <row r="8" ht="90" customHeight="1">
      <c r="A8" s="3" t="inlineStr">
        <is>
          <t>Query (gegenereerd — api_key blijft leeg)</t>
        </is>
      </c>
      <c r="B8" s="16">
        <f>"https://connectors.windsor.ai/"&amp;$B$2&amp;"?api_key="&amp;IF(Instellingen!$B$4&lt;&gt;"","&amp;date_preset="&amp;Instellingen!$B$4,"")&amp;"&amp;fields="&amp;_xlfn.TEXTJOIN(",",TRUE,$D$12:$D$80)&amp;IF($B$3&lt;&gt;"","&amp;select_accounts="&amp;$B$3,"")&amp;IF(Instellingen!$B$5&lt;&gt;"","&amp;_field_headers="&amp;Instellingen!$B$5,"")</f>
        <v/>
      </c>
    </row>
    <row r="9">
      <c r="A9" s="3" t="inlineStr">
        <is>
          <t>Aantal velden in de query</t>
        </is>
      </c>
      <c r="B9" s="17">
        <f>COUNTIF($C$12:$C$80,"x")</f>
        <v/>
      </c>
    </row>
    <row r="11">
      <c r="A11" s="8" t="inlineStr">
        <is>
          <t>Veld (Windsor-id)</t>
        </is>
      </c>
      <c r="B11" s="8" t="inlineStr">
        <is>
          <t>Gebruik in het dashboard</t>
        </is>
      </c>
      <c r="C11" s="8" t="inlineStr">
        <is>
          <t>Opnemen (x)</t>
        </is>
      </c>
      <c r="D11" s="8" t="inlineStr">
        <is>
          <t>→ query</t>
        </is>
      </c>
    </row>
    <row r="12">
      <c r="A12" s="9" t="inlineStr">
        <is>
          <t>date</t>
        </is>
      </c>
      <c r="B12" s="18" t="inlineStr">
        <is>
          <t>Datumkolom: 'Columns to Match' en periodefilter</t>
        </is>
      </c>
      <c r="C12" s="19" t="inlineStr">
        <is>
          <t>x</t>
        </is>
      </c>
      <c r="D12" s="20">
        <f>IF(AND($C12="x",$A12&lt;&gt;""),$A12,"")</f>
        <v/>
      </c>
    </row>
    <row r="13">
      <c r="A13" s="9" t="inlineStr">
        <is>
          <t>account_id</t>
        </is>
      </c>
      <c r="B13" s="18" t="inlineStr">
        <is>
          <t>Accountcontrole: alleen rijen van dit account tellen mee</t>
        </is>
      </c>
      <c r="C13" s="19" t="inlineStr">
        <is>
          <t>x</t>
        </is>
      </c>
      <c r="D13" s="20">
        <f>IF(AND($C13="x",$A13&lt;&gt;""),$A13,"")</f>
        <v/>
      </c>
    </row>
    <row r="14">
      <c r="A14" s="9" t="inlineStr">
        <is>
          <t>account_name</t>
        </is>
      </c>
      <c r="B14" s="18" t="inlineStr">
        <is>
          <t>Idem, leesbaar</t>
        </is>
      </c>
      <c r="C14" s="19" t="inlineStr">
        <is>
          <t>x</t>
        </is>
      </c>
      <c r="D14" s="20">
        <f>IF(AND($C14="x",$A14&lt;&gt;""),$A14,"")</f>
        <v/>
      </c>
    </row>
    <row r="15">
      <c r="A15" s="9" t="inlineStr">
        <is>
          <t>query</t>
        </is>
      </c>
      <c r="B15" s="18" t="inlineStr">
        <is>
          <t>Zoekopdracht (kop 'Search query' of 'Query')</t>
        </is>
      </c>
      <c r="C15" s="19" t="inlineStr">
        <is>
          <t>x</t>
        </is>
      </c>
      <c r="D15" s="20">
        <f>IF(AND($C15="x",$A15&lt;&gt;""),$A15,"")</f>
        <v/>
      </c>
    </row>
    <row r="16">
      <c r="A16" s="9" t="inlineStr">
        <is>
          <t>clicks</t>
        </is>
      </c>
      <c r="B16" s="18" t="inlineStr">
        <is>
          <t>Kliks</t>
        </is>
      </c>
      <c r="C16" s="19" t="inlineStr">
        <is>
          <t>x</t>
        </is>
      </c>
      <c r="D16" s="20">
        <f>IF(AND($C16="x",$A16&lt;&gt;""),$A16,"")</f>
        <v/>
      </c>
    </row>
    <row r="17">
      <c r="A17" s="9" t="inlineStr">
        <is>
          <t>impressions</t>
        </is>
      </c>
      <c r="B17" s="18" t="inlineStr">
        <is>
          <t>Vertoningen</t>
        </is>
      </c>
      <c r="C17" s="19" t="inlineStr">
        <is>
          <t>x</t>
        </is>
      </c>
      <c r="D17" s="20">
        <f>IF(AND($C17="x",$A17&lt;&gt;""),$A17,"")</f>
        <v/>
      </c>
    </row>
    <row r="18">
      <c r="A18" s="9" t="inlineStr">
        <is>
          <t>position</t>
        </is>
      </c>
      <c r="B18" s="18" t="inlineStr">
        <is>
          <t>Positie</t>
        </is>
      </c>
      <c r="C18" s="19" t="inlineStr">
        <is>
          <t>x</t>
        </is>
      </c>
      <c r="D18" s="20">
        <f>IF(AND($C18="x",$A18&lt;&gt;""),$A18,"")</f>
        <v/>
      </c>
    </row>
    <row r="19">
      <c r="A19" s="14" t="inlineStr">
        <is>
          <t>Eigen veld toevoegen: zet hieronder het Windsor-veld-id in kolom A en een x in kolom C (tot rij 80).</t>
        </is>
      </c>
    </row>
    <row r="20">
      <c r="A20" s="21" t="n"/>
      <c r="C20" s="21" t="n"/>
      <c r="D20" s="20">
        <f>IF(AND($C20="x",$A20&lt;&gt;""),$A20,"")</f>
        <v/>
      </c>
    </row>
    <row r="21">
      <c r="A21" s="21" t="n"/>
      <c r="C21" s="21" t="n"/>
      <c r="D21" s="20">
        <f>IF(AND($C21="x",$A21&lt;&gt;""),$A21,"")</f>
        <v/>
      </c>
    </row>
    <row r="22">
      <c r="A22" s="21" t="n"/>
      <c r="C22" s="21" t="n"/>
      <c r="D22" s="20">
        <f>IF(AND($C22="x",$A22&lt;&gt;""),$A22,"")</f>
        <v/>
      </c>
    </row>
    <row r="23">
      <c r="A23" s="21" t="n"/>
      <c r="C23" s="21" t="n"/>
      <c r="D23" s="20">
        <f>IF(AND($C23="x",$A23&lt;&gt;""),$A23,"")</f>
        <v/>
      </c>
    </row>
    <row r="24">
      <c r="A24" s="21" t="n"/>
      <c r="C24" s="21" t="n"/>
      <c r="D24" s="20">
        <f>IF(AND($C24="x",$A24&lt;&gt;""),$A24,"")</f>
        <v/>
      </c>
    </row>
    <row r="25">
      <c r="A25" s="21" t="n"/>
      <c r="C25" s="21" t="n"/>
      <c r="D25" s="20">
        <f>IF(AND($C25="x",$A25&lt;&gt;""),$A25,"")</f>
        <v/>
      </c>
    </row>
    <row r="26">
      <c r="A26" s="21" t="n"/>
      <c r="C26" s="21" t="n"/>
      <c r="D26" s="20">
        <f>IF(AND($C26="x",$A26&lt;&gt;""),$A26,"")</f>
        <v/>
      </c>
    </row>
    <row r="27">
      <c r="A27" s="21" t="n"/>
      <c r="C27" s="21" t="n"/>
      <c r="D27" s="20">
        <f>IF(AND($C27="x",$A27&lt;&gt;""),$A27,"")</f>
        <v/>
      </c>
    </row>
    <row r="28">
      <c r="A28" s="21" t="n"/>
      <c r="C28" s="21" t="n"/>
      <c r="D28" s="20">
        <f>IF(AND($C28="x",$A28&lt;&gt;""),$A28,"")</f>
        <v/>
      </c>
    </row>
    <row r="29">
      <c r="A29" s="21" t="n"/>
      <c r="C29" s="21" t="n"/>
      <c r="D29" s="20">
        <f>IF(AND($C29="x",$A29&lt;&gt;""),$A29,"")</f>
        <v/>
      </c>
    </row>
    <row r="30">
      <c r="A30" s="21" t="n"/>
      <c r="C30" s="21" t="n"/>
      <c r="D30" s="20">
        <f>IF(AND($C30="x",$A30&lt;&gt;""),$A30,"")</f>
        <v/>
      </c>
    </row>
    <row r="31">
      <c r="A31" s="21" t="n"/>
      <c r="C31" s="21" t="n"/>
      <c r="D31" s="20">
        <f>IF(AND($C31="x",$A31&lt;&gt;""),$A31,"")</f>
        <v/>
      </c>
    </row>
    <row r="32">
      <c r="A32" s="21" t="n"/>
      <c r="C32" s="21" t="n"/>
      <c r="D32" s="20">
        <f>IF(AND($C32="x",$A32&lt;&gt;""),$A32,"")</f>
        <v/>
      </c>
    </row>
    <row r="33">
      <c r="A33" s="21" t="n"/>
      <c r="C33" s="21" t="n"/>
      <c r="D33" s="20">
        <f>IF(AND($C33="x",$A33&lt;&gt;""),$A33,"")</f>
        <v/>
      </c>
    </row>
    <row r="34">
      <c r="A34" s="21" t="n"/>
      <c r="C34" s="21" t="n"/>
      <c r="D34" s="20">
        <f>IF(AND($C34="x",$A34&lt;&gt;""),$A34,"")</f>
        <v/>
      </c>
    </row>
    <row r="35">
      <c r="A35" s="21" t="n"/>
      <c r="C35" s="21" t="n"/>
      <c r="D35" s="20">
        <f>IF(AND($C35="x",$A35&lt;&gt;""),$A35,"")</f>
        <v/>
      </c>
    </row>
    <row r="36">
      <c r="A36" s="21" t="n"/>
      <c r="C36" s="21" t="n"/>
      <c r="D36" s="20">
        <f>IF(AND($C36="x",$A36&lt;&gt;""),$A36,"")</f>
        <v/>
      </c>
    </row>
    <row r="37">
      <c r="A37" s="21" t="n"/>
      <c r="C37" s="21" t="n"/>
      <c r="D37" s="20">
        <f>IF(AND($C37="x",$A37&lt;&gt;""),$A37,"")</f>
        <v/>
      </c>
    </row>
    <row r="38">
      <c r="A38" s="21" t="n"/>
      <c r="C38" s="21" t="n"/>
      <c r="D38" s="20">
        <f>IF(AND($C38="x",$A38&lt;&gt;""),$A38,"")</f>
        <v/>
      </c>
    </row>
    <row r="39">
      <c r="A39" s="21" t="n"/>
      <c r="C39" s="21" t="n"/>
      <c r="D39" s="20">
        <f>IF(AND($C39="x",$A39&lt;&gt;""),$A39,"")</f>
        <v/>
      </c>
    </row>
    <row r="40">
      <c r="A40" s="21" t="n"/>
      <c r="C40" s="21" t="n"/>
      <c r="D40" s="20">
        <f>IF(AND($C40="x",$A40&lt;&gt;""),$A40,"")</f>
        <v/>
      </c>
    </row>
    <row r="41">
      <c r="A41" s="21" t="n"/>
      <c r="C41" s="21" t="n"/>
      <c r="D41" s="20">
        <f>IF(AND($C41="x",$A41&lt;&gt;""),$A41,"")</f>
        <v/>
      </c>
    </row>
    <row r="42">
      <c r="A42" s="21" t="n"/>
      <c r="C42" s="21" t="n"/>
      <c r="D42" s="20">
        <f>IF(AND($C42="x",$A42&lt;&gt;""),$A42,"")</f>
        <v/>
      </c>
    </row>
    <row r="43">
      <c r="A43" s="21" t="n"/>
      <c r="C43" s="21" t="n"/>
      <c r="D43" s="20">
        <f>IF(AND($C43="x",$A43&lt;&gt;""),$A43,"")</f>
        <v/>
      </c>
    </row>
    <row r="44">
      <c r="A44" s="21" t="n"/>
      <c r="C44" s="21" t="n"/>
      <c r="D44" s="20">
        <f>IF(AND($C44="x",$A44&lt;&gt;""),$A44,"")</f>
        <v/>
      </c>
    </row>
    <row r="45">
      <c r="A45" s="21" t="n"/>
      <c r="C45" s="21" t="n"/>
      <c r="D45" s="20">
        <f>IF(AND($C45="x",$A45&lt;&gt;""),$A45,"")</f>
        <v/>
      </c>
    </row>
    <row r="46">
      <c r="A46" s="21" t="n"/>
      <c r="C46" s="21" t="n"/>
      <c r="D46" s="20">
        <f>IF(AND($C46="x",$A46&lt;&gt;""),$A46,"")</f>
        <v/>
      </c>
    </row>
    <row r="47">
      <c r="A47" s="21" t="n"/>
      <c r="C47" s="21" t="n"/>
      <c r="D47" s="20">
        <f>IF(AND($C47="x",$A47&lt;&gt;""),$A47,"")</f>
        <v/>
      </c>
    </row>
    <row r="48">
      <c r="A48" s="21" t="n"/>
      <c r="C48" s="21" t="n"/>
      <c r="D48" s="20">
        <f>IF(AND($C48="x",$A48&lt;&gt;""),$A48,"")</f>
        <v/>
      </c>
    </row>
    <row r="49">
      <c r="A49" s="21" t="n"/>
      <c r="C49" s="21" t="n"/>
      <c r="D49" s="20">
        <f>IF(AND($C49="x",$A49&lt;&gt;""),$A49,"")</f>
        <v/>
      </c>
    </row>
    <row r="50">
      <c r="A50" s="21" t="n"/>
      <c r="C50" s="21" t="n"/>
      <c r="D50" s="20">
        <f>IF(AND($C50="x",$A50&lt;&gt;""),$A50,"")</f>
        <v/>
      </c>
    </row>
    <row r="51">
      <c r="A51" s="21" t="n"/>
      <c r="C51" s="21" t="n"/>
      <c r="D51" s="20">
        <f>IF(AND($C51="x",$A51&lt;&gt;""),$A51,"")</f>
        <v/>
      </c>
    </row>
    <row r="52">
      <c r="A52" s="21" t="n"/>
      <c r="C52" s="21" t="n"/>
      <c r="D52" s="20">
        <f>IF(AND($C52="x",$A52&lt;&gt;""),$A52,"")</f>
        <v/>
      </c>
    </row>
    <row r="53">
      <c r="A53" s="21" t="n"/>
      <c r="C53" s="21" t="n"/>
      <c r="D53" s="20">
        <f>IF(AND($C53="x",$A53&lt;&gt;""),$A53,"")</f>
        <v/>
      </c>
    </row>
    <row r="54">
      <c r="A54" s="21" t="n"/>
      <c r="C54" s="21" t="n"/>
      <c r="D54" s="20">
        <f>IF(AND($C54="x",$A54&lt;&gt;""),$A54,"")</f>
        <v/>
      </c>
    </row>
    <row r="55">
      <c r="A55" s="21" t="n"/>
      <c r="C55" s="21" t="n"/>
      <c r="D55" s="20">
        <f>IF(AND($C55="x",$A55&lt;&gt;""),$A55,"")</f>
        <v/>
      </c>
    </row>
    <row r="56">
      <c r="A56" s="21" t="n"/>
      <c r="C56" s="21" t="n"/>
      <c r="D56" s="20">
        <f>IF(AND($C56="x",$A56&lt;&gt;""),$A56,"")</f>
        <v/>
      </c>
    </row>
    <row r="57">
      <c r="A57" s="21" t="n"/>
      <c r="C57" s="21" t="n"/>
      <c r="D57" s="20">
        <f>IF(AND($C57="x",$A57&lt;&gt;""),$A57,"")</f>
        <v/>
      </c>
    </row>
    <row r="58">
      <c r="A58" s="21" t="n"/>
      <c r="C58" s="21" t="n"/>
      <c r="D58" s="20">
        <f>IF(AND($C58="x",$A58&lt;&gt;""),$A58,"")</f>
        <v/>
      </c>
    </row>
    <row r="59">
      <c r="A59" s="21" t="n"/>
      <c r="C59" s="21" t="n"/>
      <c r="D59" s="20">
        <f>IF(AND($C59="x",$A59&lt;&gt;""),$A59,"")</f>
        <v/>
      </c>
    </row>
    <row r="60">
      <c r="A60" s="21" t="n"/>
      <c r="C60" s="21" t="n"/>
      <c r="D60" s="20">
        <f>IF(AND($C60="x",$A60&lt;&gt;""),$A60,"")</f>
        <v/>
      </c>
    </row>
    <row r="61">
      <c r="A61" s="21" t="n"/>
      <c r="C61" s="21" t="n"/>
      <c r="D61" s="20">
        <f>IF(AND($C61="x",$A61&lt;&gt;""),$A61,"")</f>
        <v/>
      </c>
    </row>
    <row r="62">
      <c r="A62" s="21" t="n"/>
      <c r="C62" s="21" t="n"/>
      <c r="D62" s="20">
        <f>IF(AND($C62="x",$A62&lt;&gt;""),$A62,"")</f>
        <v/>
      </c>
    </row>
    <row r="63">
      <c r="A63" s="21" t="n"/>
      <c r="C63" s="21" t="n"/>
      <c r="D63" s="20">
        <f>IF(AND($C63="x",$A63&lt;&gt;""),$A63,"")</f>
        <v/>
      </c>
    </row>
    <row r="64">
      <c r="A64" s="21" t="n"/>
      <c r="C64" s="21" t="n"/>
      <c r="D64" s="20">
        <f>IF(AND($C64="x",$A64&lt;&gt;""),$A64,"")</f>
        <v/>
      </c>
    </row>
    <row r="65">
      <c r="A65" s="21" t="n"/>
      <c r="C65" s="21" t="n"/>
      <c r="D65" s="20">
        <f>IF(AND($C65="x",$A65&lt;&gt;""),$A65,"")</f>
        <v/>
      </c>
    </row>
    <row r="66">
      <c r="A66" s="21" t="n"/>
      <c r="C66" s="21" t="n"/>
      <c r="D66" s="20">
        <f>IF(AND($C66="x",$A66&lt;&gt;""),$A66,"")</f>
        <v/>
      </c>
    </row>
    <row r="67">
      <c r="A67" s="21" t="n"/>
      <c r="C67" s="21" t="n"/>
      <c r="D67" s="20">
        <f>IF(AND($C67="x",$A67&lt;&gt;""),$A67,"")</f>
        <v/>
      </c>
    </row>
    <row r="68">
      <c r="A68" s="21" t="n"/>
      <c r="C68" s="21" t="n"/>
      <c r="D68" s="20">
        <f>IF(AND($C68="x",$A68&lt;&gt;""),$A68,"")</f>
        <v/>
      </c>
    </row>
    <row r="69">
      <c r="A69" s="21" t="n"/>
      <c r="C69" s="21" t="n"/>
      <c r="D69" s="20">
        <f>IF(AND($C69="x",$A69&lt;&gt;""),$A69,"")</f>
        <v/>
      </c>
    </row>
    <row r="70">
      <c r="A70" s="21" t="n"/>
      <c r="C70" s="21" t="n"/>
      <c r="D70" s="20">
        <f>IF(AND($C70="x",$A70&lt;&gt;""),$A70,"")</f>
        <v/>
      </c>
    </row>
    <row r="71">
      <c r="A71" s="21" t="n"/>
      <c r="C71" s="21" t="n"/>
      <c r="D71" s="20">
        <f>IF(AND($C71="x",$A71&lt;&gt;""),$A71,"")</f>
        <v/>
      </c>
    </row>
    <row r="72">
      <c r="A72" s="21" t="n"/>
      <c r="C72" s="21" t="n"/>
      <c r="D72" s="20">
        <f>IF(AND($C72="x",$A72&lt;&gt;""),$A72,"")</f>
        <v/>
      </c>
    </row>
    <row r="73">
      <c r="A73" s="21" t="n"/>
      <c r="C73" s="21" t="n"/>
      <c r="D73" s="20">
        <f>IF(AND($C73="x",$A73&lt;&gt;""),$A73,"")</f>
        <v/>
      </c>
    </row>
    <row r="74">
      <c r="A74" s="21" t="n"/>
      <c r="C74" s="21" t="n"/>
      <c r="D74" s="20">
        <f>IF(AND($C74="x",$A74&lt;&gt;""),$A74,"")</f>
        <v/>
      </c>
    </row>
    <row r="75">
      <c r="A75" s="21" t="n"/>
      <c r="C75" s="21" t="n"/>
      <c r="D75" s="20">
        <f>IF(AND($C75="x",$A75&lt;&gt;""),$A75,"")</f>
        <v/>
      </c>
    </row>
    <row r="76">
      <c r="A76" s="21" t="n"/>
      <c r="C76" s="21" t="n"/>
      <c r="D76" s="20">
        <f>IF(AND($C76="x",$A76&lt;&gt;""),$A76,"")</f>
        <v/>
      </c>
    </row>
    <row r="77">
      <c r="A77" s="21" t="n"/>
      <c r="C77" s="21" t="n"/>
      <c r="D77" s="20">
        <f>IF(AND($C77="x",$A77&lt;&gt;""),$A77,"")</f>
        <v/>
      </c>
    </row>
    <row r="78">
      <c r="A78" s="21" t="n"/>
      <c r="C78" s="21" t="n"/>
      <c r="D78" s="20">
        <f>IF(AND($C78="x",$A78&lt;&gt;""),$A78,"")</f>
        <v/>
      </c>
    </row>
    <row r="79">
      <c r="A79" s="21" t="n"/>
      <c r="C79" s="21" t="n"/>
      <c r="D79" s="20">
        <f>IF(AND($C79="x",$A79&lt;&gt;""),$A79,"")</f>
        <v/>
      </c>
    </row>
    <row r="80">
      <c r="A80" s="21" t="n"/>
      <c r="C80" s="21" t="n"/>
      <c r="D80" s="20">
        <f>IF(AND($C80="x",$A80&lt;&gt;""),$A80,"")</f>
        <v/>
      </c>
    </row>
  </sheetData>
  <mergeCells count="2">
    <mergeCell ref="A19:C19"/>
    <mergeCell ref="B8:D8"/>
  </mergeCells>
  <dataValidations count="1">
    <dataValidation sqref="C12 C13 C14 C15 C16 C17 C18 C19 C20 C21 C22 C23 C24 C25 C26 C27 C28 C29 C30 C31 C32 C33 C34 C35 C36 C37 C38 C39 C40 C41 C42 C43 C44 C45 C46 C47 C48 C49 C50 C51 C52 C53 C54 C55 C56 C57 C58 C59 C60 C61 C62 C63 C64 C65 C66 C67 C68 C69 C70 C71 C72 C73 C74 C75 C76 C77 C78 C79 C80" showDropDown="0" showInputMessage="0" showErrorMessage="1" allowBlank="1" errorTitle="Alleen x" error="Zet een x om het veld op te nemen, of laat de cel leeg." type="list">
      <formula1>"x"</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80"/>
  <sheetViews>
    <sheetView workbookViewId="0">
      <pane ySplit="11" topLeftCell="A12" activePane="bottomLeft" state="frozen"/>
      <selection pane="bottomLeft" activeCell="A1" sqref="A1"/>
    </sheetView>
  </sheetViews>
  <sheetFormatPr baseColWidth="8" defaultRowHeight="15"/>
  <cols>
    <col width="44" customWidth="1" min="1" max="1"/>
    <col width="62" customWidth="1" min="2" max="2"/>
    <col width="13" customWidth="1" min="3" max="3"/>
    <col hidden="1" width="10" customWidth="1" min="4" max="4"/>
  </cols>
  <sheetData>
    <row r="1">
      <c r="A1" s="13" t="inlineStr">
        <is>
          <t>Windsor-export: Search Console pagina</t>
        </is>
      </c>
      <c r="C1" s="14" t="inlineStr">
        <is>
          <t>Status: Optioneel (anders live) · Website → pagina's</t>
        </is>
      </c>
    </row>
    <row r="2">
      <c r="A2" s="3" t="inlineStr">
        <is>
          <t>Connector</t>
        </is>
      </c>
      <c r="B2" s="6" t="inlineStr">
        <is>
          <t>searchconsole</t>
        </is>
      </c>
    </row>
    <row r="3">
      <c r="A3" s="3" t="inlineStr">
        <is>
          <t>Account-id (uit Instellingen)</t>
        </is>
      </c>
      <c r="B3" s="15">
        <f>Instellingen!$B$13</f>
        <v/>
      </c>
    </row>
    <row r="4">
      <c r="A4" s="3" t="inlineStr">
        <is>
          <t>Taaknaam (Task name)</t>
        </is>
      </c>
      <c r="B4" s="15">
        <f>"Windsor - Sheets - Search Console pagina - "&amp;Instellingen!$B$3</f>
        <v/>
      </c>
    </row>
    <row r="5">
      <c r="A5" s="3" t="inlineStr">
        <is>
          <t>Tabnaam (Sheet Name)</t>
        </is>
      </c>
      <c r="B5" s="15">
        <f>"Search Console - pagina - "&amp;Instellingen!$B$3&amp;" - windsor.ai"</f>
        <v/>
      </c>
      <c r="C5" s="12" t="inlineStr">
        <is>
          <t>Herkenning in api/_sheetdata.js gaat op bron + niveau in deze naam; hou het voorstel aan.</t>
        </is>
      </c>
    </row>
    <row r="6">
      <c r="A6" s="3" t="inlineStr">
        <is>
          <t>Columns to Match (rows to replace)</t>
        </is>
      </c>
      <c r="B6" s="6" t="inlineStr">
        <is>
          <t>date</t>
        </is>
      </c>
      <c r="C6" s="12" t="inlineStr">
        <is>
          <t>Voorstel; zoals bij de bestaande exports.</t>
        </is>
      </c>
    </row>
    <row r="7">
      <c r="A7" s="3" t="inlineStr">
        <is>
          <t>Schedule</t>
        </is>
      </c>
      <c r="B7" s="6" t="inlineStr">
        <is>
          <t>Daily · 00:00 UTC · Target Cell A1 · Authentication: Google Account</t>
        </is>
      </c>
    </row>
    <row r="8" ht="90" customHeight="1">
      <c r="A8" s="3" t="inlineStr">
        <is>
          <t>Query (gegenereerd — api_key blijft leeg)</t>
        </is>
      </c>
      <c r="B8" s="16">
        <f>"https://connectors.windsor.ai/"&amp;$B$2&amp;"?api_key="&amp;IF(Instellingen!$B$4&lt;&gt;"","&amp;date_preset="&amp;Instellingen!$B$4,"")&amp;"&amp;fields="&amp;_xlfn.TEXTJOIN(",",TRUE,$D$12:$D$80)&amp;IF($B$3&lt;&gt;"","&amp;select_accounts="&amp;$B$3,"")&amp;IF(Instellingen!$B$5&lt;&gt;"","&amp;_field_headers="&amp;Instellingen!$B$5,"")</f>
        <v/>
      </c>
    </row>
    <row r="9">
      <c r="A9" s="3" t="inlineStr">
        <is>
          <t>Aantal velden in de query</t>
        </is>
      </c>
      <c r="B9" s="17">
        <f>COUNTIF($C$12:$C$80,"x")</f>
        <v/>
      </c>
    </row>
    <row r="11">
      <c r="A11" s="8" t="inlineStr">
        <is>
          <t>Veld (Windsor-id)</t>
        </is>
      </c>
      <c r="B11" s="8" t="inlineStr">
        <is>
          <t>Gebruik in het dashboard</t>
        </is>
      </c>
      <c r="C11" s="8" t="inlineStr">
        <is>
          <t>Opnemen (x)</t>
        </is>
      </c>
      <c r="D11" s="8" t="inlineStr">
        <is>
          <t>→ query</t>
        </is>
      </c>
    </row>
    <row r="12">
      <c r="A12" s="9" t="inlineStr">
        <is>
          <t>date</t>
        </is>
      </c>
      <c r="B12" s="18" t="inlineStr">
        <is>
          <t>Datumkolom: 'Columns to Match' en periodefilter</t>
        </is>
      </c>
      <c r="C12" s="19" t="inlineStr">
        <is>
          <t>x</t>
        </is>
      </c>
      <c r="D12" s="20">
        <f>IF(AND($C12="x",$A12&lt;&gt;""),$A12,"")</f>
        <v/>
      </c>
    </row>
    <row r="13">
      <c r="A13" s="9" t="inlineStr">
        <is>
          <t>account_id</t>
        </is>
      </c>
      <c r="B13" s="18" t="inlineStr">
        <is>
          <t>Accountcontrole: alleen rijen van dit account tellen mee</t>
        </is>
      </c>
      <c r="C13" s="19" t="inlineStr">
        <is>
          <t>x</t>
        </is>
      </c>
      <c r="D13" s="20">
        <f>IF(AND($C13="x",$A13&lt;&gt;""),$A13,"")</f>
        <v/>
      </c>
    </row>
    <row r="14">
      <c r="A14" s="9" t="inlineStr">
        <is>
          <t>account_name</t>
        </is>
      </c>
      <c r="B14" s="18" t="inlineStr">
        <is>
          <t>Idem, leesbaar</t>
        </is>
      </c>
      <c r="C14" s="19" t="inlineStr">
        <is>
          <t>x</t>
        </is>
      </c>
      <c r="D14" s="20">
        <f>IF(AND($C14="x",$A14&lt;&gt;""),$A14,"")</f>
        <v/>
      </c>
    </row>
    <row r="15">
      <c r="A15" s="9" t="inlineStr">
        <is>
          <t>pagepath</t>
        </is>
      </c>
      <c r="B15" s="18" t="inlineStr">
        <is>
          <t>Pagina</t>
        </is>
      </c>
      <c r="C15" s="19" t="inlineStr">
        <is>
          <t>x</t>
        </is>
      </c>
      <c r="D15" s="20">
        <f>IF(AND($C15="x",$A15&lt;&gt;""),$A15,"")</f>
        <v/>
      </c>
    </row>
    <row r="16">
      <c r="A16" s="9" t="inlineStr">
        <is>
          <t>clicks</t>
        </is>
      </c>
      <c r="B16" s="18" t="inlineStr">
        <is>
          <t>Kliks</t>
        </is>
      </c>
      <c r="C16" s="19" t="inlineStr">
        <is>
          <t>x</t>
        </is>
      </c>
      <c r="D16" s="20">
        <f>IF(AND($C16="x",$A16&lt;&gt;""),$A16,"")</f>
        <v/>
      </c>
    </row>
    <row r="17">
      <c r="A17" s="9" t="inlineStr">
        <is>
          <t>impressions</t>
        </is>
      </c>
      <c r="B17" s="18" t="inlineStr">
        <is>
          <t>Vertoningen</t>
        </is>
      </c>
      <c r="C17" s="19" t="inlineStr">
        <is>
          <t>x</t>
        </is>
      </c>
      <c r="D17" s="20">
        <f>IF(AND($C17="x",$A17&lt;&gt;""),$A17,"")</f>
        <v/>
      </c>
    </row>
    <row r="18">
      <c r="A18" s="9" t="inlineStr">
        <is>
          <t>position</t>
        </is>
      </c>
      <c r="B18" s="18" t="inlineStr">
        <is>
          <t>Positie</t>
        </is>
      </c>
      <c r="C18" s="19" t="inlineStr">
        <is>
          <t>x</t>
        </is>
      </c>
      <c r="D18" s="20">
        <f>IF(AND($C18="x",$A18&lt;&gt;""),$A18,"")</f>
        <v/>
      </c>
    </row>
    <row r="19">
      <c r="A19" s="14" t="inlineStr">
        <is>
          <t>Eigen veld toevoegen: zet hieronder het Windsor-veld-id in kolom A en een x in kolom C (tot rij 80).</t>
        </is>
      </c>
    </row>
    <row r="20">
      <c r="A20" s="21" t="n"/>
      <c r="C20" s="21" t="n"/>
      <c r="D20" s="20">
        <f>IF(AND($C20="x",$A20&lt;&gt;""),$A20,"")</f>
        <v/>
      </c>
    </row>
    <row r="21">
      <c r="A21" s="21" t="n"/>
      <c r="C21" s="21" t="n"/>
      <c r="D21" s="20">
        <f>IF(AND($C21="x",$A21&lt;&gt;""),$A21,"")</f>
        <v/>
      </c>
    </row>
    <row r="22">
      <c r="A22" s="21" t="n"/>
      <c r="C22" s="21" t="n"/>
      <c r="D22" s="20">
        <f>IF(AND($C22="x",$A22&lt;&gt;""),$A22,"")</f>
        <v/>
      </c>
    </row>
    <row r="23">
      <c r="A23" s="21" t="n"/>
      <c r="C23" s="21" t="n"/>
      <c r="D23" s="20">
        <f>IF(AND($C23="x",$A23&lt;&gt;""),$A23,"")</f>
        <v/>
      </c>
    </row>
    <row r="24">
      <c r="A24" s="21" t="n"/>
      <c r="C24" s="21" t="n"/>
      <c r="D24" s="20">
        <f>IF(AND($C24="x",$A24&lt;&gt;""),$A24,"")</f>
        <v/>
      </c>
    </row>
    <row r="25">
      <c r="A25" s="21" t="n"/>
      <c r="C25" s="21" t="n"/>
      <c r="D25" s="20">
        <f>IF(AND($C25="x",$A25&lt;&gt;""),$A25,"")</f>
        <v/>
      </c>
    </row>
    <row r="26">
      <c r="A26" s="21" t="n"/>
      <c r="C26" s="21" t="n"/>
      <c r="D26" s="20">
        <f>IF(AND($C26="x",$A26&lt;&gt;""),$A26,"")</f>
        <v/>
      </c>
    </row>
    <row r="27">
      <c r="A27" s="21" t="n"/>
      <c r="C27" s="21" t="n"/>
      <c r="D27" s="20">
        <f>IF(AND($C27="x",$A27&lt;&gt;""),$A27,"")</f>
        <v/>
      </c>
    </row>
    <row r="28">
      <c r="A28" s="21" t="n"/>
      <c r="C28" s="21" t="n"/>
      <c r="D28" s="20">
        <f>IF(AND($C28="x",$A28&lt;&gt;""),$A28,"")</f>
        <v/>
      </c>
    </row>
    <row r="29">
      <c r="A29" s="21" t="n"/>
      <c r="C29" s="21" t="n"/>
      <c r="D29" s="20">
        <f>IF(AND($C29="x",$A29&lt;&gt;""),$A29,"")</f>
        <v/>
      </c>
    </row>
    <row r="30">
      <c r="A30" s="21" t="n"/>
      <c r="C30" s="21" t="n"/>
      <c r="D30" s="20">
        <f>IF(AND($C30="x",$A30&lt;&gt;""),$A30,"")</f>
        <v/>
      </c>
    </row>
    <row r="31">
      <c r="A31" s="21" t="n"/>
      <c r="C31" s="21" t="n"/>
      <c r="D31" s="20">
        <f>IF(AND($C31="x",$A31&lt;&gt;""),$A31,"")</f>
        <v/>
      </c>
    </row>
    <row r="32">
      <c r="A32" s="21" t="n"/>
      <c r="C32" s="21" t="n"/>
      <c r="D32" s="20">
        <f>IF(AND($C32="x",$A32&lt;&gt;""),$A32,"")</f>
        <v/>
      </c>
    </row>
    <row r="33">
      <c r="A33" s="21" t="n"/>
      <c r="C33" s="21" t="n"/>
      <c r="D33" s="20">
        <f>IF(AND($C33="x",$A33&lt;&gt;""),$A33,"")</f>
        <v/>
      </c>
    </row>
    <row r="34">
      <c r="A34" s="21" t="n"/>
      <c r="C34" s="21" t="n"/>
      <c r="D34" s="20">
        <f>IF(AND($C34="x",$A34&lt;&gt;""),$A34,"")</f>
        <v/>
      </c>
    </row>
    <row r="35">
      <c r="A35" s="21" t="n"/>
      <c r="C35" s="21" t="n"/>
      <c r="D35" s="20">
        <f>IF(AND($C35="x",$A35&lt;&gt;""),$A35,"")</f>
        <v/>
      </c>
    </row>
    <row r="36">
      <c r="A36" s="21" t="n"/>
      <c r="C36" s="21" t="n"/>
      <c r="D36" s="20">
        <f>IF(AND($C36="x",$A36&lt;&gt;""),$A36,"")</f>
        <v/>
      </c>
    </row>
    <row r="37">
      <c r="A37" s="21" t="n"/>
      <c r="C37" s="21" t="n"/>
      <c r="D37" s="20">
        <f>IF(AND($C37="x",$A37&lt;&gt;""),$A37,"")</f>
        <v/>
      </c>
    </row>
    <row r="38">
      <c r="A38" s="21" t="n"/>
      <c r="C38" s="21" t="n"/>
      <c r="D38" s="20">
        <f>IF(AND($C38="x",$A38&lt;&gt;""),$A38,"")</f>
        <v/>
      </c>
    </row>
    <row r="39">
      <c r="A39" s="21" t="n"/>
      <c r="C39" s="21" t="n"/>
      <c r="D39" s="20">
        <f>IF(AND($C39="x",$A39&lt;&gt;""),$A39,"")</f>
        <v/>
      </c>
    </row>
    <row r="40">
      <c r="A40" s="21" t="n"/>
      <c r="C40" s="21" t="n"/>
      <c r="D40" s="20">
        <f>IF(AND($C40="x",$A40&lt;&gt;""),$A40,"")</f>
        <v/>
      </c>
    </row>
    <row r="41">
      <c r="A41" s="21" t="n"/>
      <c r="C41" s="21" t="n"/>
      <c r="D41" s="20">
        <f>IF(AND($C41="x",$A41&lt;&gt;""),$A41,"")</f>
        <v/>
      </c>
    </row>
    <row r="42">
      <c r="A42" s="21" t="n"/>
      <c r="C42" s="21" t="n"/>
      <c r="D42" s="20">
        <f>IF(AND($C42="x",$A42&lt;&gt;""),$A42,"")</f>
        <v/>
      </c>
    </row>
    <row r="43">
      <c r="A43" s="21" t="n"/>
      <c r="C43" s="21" t="n"/>
      <c r="D43" s="20">
        <f>IF(AND($C43="x",$A43&lt;&gt;""),$A43,"")</f>
        <v/>
      </c>
    </row>
    <row r="44">
      <c r="A44" s="21" t="n"/>
      <c r="C44" s="21" t="n"/>
      <c r="D44" s="20">
        <f>IF(AND($C44="x",$A44&lt;&gt;""),$A44,"")</f>
        <v/>
      </c>
    </row>
    <row r="45">
      <c r="A45" s="21" t="n"/>
      <c r="C45" s="21" t="n"/>
      <c r="D45" s="20">
        <f>IF(AND($C45="x",$A45&lt;&gt;""),$A45,"")</f>
        <v/>
      </c>
    </row>
    <row r="46">
      <c r="A46" s="21" t="n"/>
      <c r="C46" s="21" t="n"/>
      <c r="D46" s="20">
        <f>IF(AND($C46="x",$A46&lt;&gt;""),$A46,"")</f>
        <v/>
      </c>
    </row>
    <row r="47">
      <c r="A47" s="21" t="n"/>
      <c r="C47" s="21" t="n"/>
      <c r="D47" s="20">
        <f>IF(AND($C47="x",$A47&lt;&gt;""),$A47,"")</f>
        <v/>
      </c>
    </row>
    <row r="48">
      <c r="A48" s="21" t="n"/>
      <c r="C48" s="21" t="n"/>
      <c r="D48" s="20">
        <f>IF(AND($C48="x",$A48&lt;&gt;""),$A48,"")</f>
        <v/>
      </c>
    </row>
    <row r="49">
      <c r="A49" s="21" t="n"/>
      <c r="C49" s="21" t="n"/>
      <c r="D49" s="20">
        <f>IF(AND($C49="x",$A49&lt;&gt;""),$A49,"")</f>
        <v/>
      </c>
    </row>
    <row r="50">
      <c r="A50" s="21" t="n"/>
      <c r="C50" s="21" t="n"/>
      <c r="D50" s="20">
        <f>IF(AND($C50="x",$A50&lt;&gt;""),$A50,"")</f>
        <v/>
      </c>
    </row>
    <row r="51">
      <c r="A51" s="21" t="n"/>
      <c r="C51" s="21" t="n"/>
      <c r="D51" s="20">
        <f>IF(AND($C51="x",$A51&lt;&gt;""),$A51,"")</f>
        <v/>
      </c>
    </row>
    <row r="52">
      <c r="A52" s="21" t="n"/>
      <c r="C52" s="21" t="n"/>
      <c r="D52" s="20">
        <f>IF(AND($C52="x",$A52&lt;&gt;""),$A52,"")</f>
        <v/>
      </c>
    </row>
    <row r="53">
      <c r="A53" s="21" t="n"/>
      <c r="C53" s="21" t="n"/>
      <c r="D53" s="20">
        <f>IF(AND($C53="x",$A53&lt;&gt;""),$A53,"")</f>
        <v/>
      </c>
    </row>
    <row r="54">
      <c r="A54" s="21" t="n"/>
      <c r="C54" s="21" t="n"/>
      <c r="D54" s="20">
        <f>IF(AND($C54="x",$A54&lt;&gt;""),$A54,"")</f>
        <v/>
      </c>
    </row>
    <row r="55">
      <c r="A55" s="21" t="n"/>
      <c r="C55" s="21" t="n"/>
      <c r="D55" s="20">
        <f>IF(AND($C55="x",$A55&lt;&gt;""),$A55,"")</f>
        <v/>
      </c>
    </row>
    <row r="56">
      <c r="A56" s="21" t="n"/>
      <c r="C56" s="21" t="n"/>
      <c r="D56" s="20">
        <f>IF(AND($C56="x",$A56&lt;&gt;""),$A56,"")</f>
        <v/>
      </c>
    </row>
    <row r="57">
      <c r="A57" s="21" t="n"/>
      <c r="C57" s="21" t="n"/>
      <c r="D57" s="20">
        <f>IF(AND($C57="x",$A57&lt;&gt;""),$A57,"")</f>
        <v/>
      </c>
    </row>
    <row r="58">
      <c r="A58" s="21" t="n"/>
      <c r="C58" s="21" t="n"/>
      <c r="D58" s="20">
        <f>IF(AND($C58="x",$A58&lt;&gt;""),$A58,"")</f>
        <v/>
      </c>
    </row>
    <row r="59">
      <c r="A59" s="21" t="n"/>
      <c r="C59" s="21" t="n"/>
      <c r="D59" s="20">
        <f>IF(AND($C59="x",$A59&lt;&gt;""),$A59,"")</f>
        <v/>
      </c>
    </row>
    <row r="60">
      <c r="A60" s="21" t="n"/>
      <c r="C60" s="21" t="n"/>
      <c r="D60" s="20">
        <f>IF(AND($C60="x",$A60&lt;&gt;""),$A60,"")</f>
        <v/>
      </c>
    </row>
    <row r="61">
      <c r="A61" s="21" t="n"/>
      <c r="C61" s="21" t="n"/>
      <c r="D61" s="20">
        <f>IF(AND($C61="x",$A61&lt;&gt;""),$A61,"")</f>
        <v/>
      </c>
    </row>
    <row r="62">
      <c r="A62" s="21" t="n"/>
      <c r="C62" s="21" t="n"/>
      <c r="D62" s="20">
        <f>IF(AND($C62="x",$A62&lt;&gt;""),$A62,"")</f>
        <v/>
      </c>
    </row>
    <row r="63">
      <c r="A63" s="21" t="n"/>
      <c r="C63" s="21" t="n"/>
      <c r="D63" s="20">
        <f>IF(AND($C63="x",$A63&lt;&gt;""),$A63,"")</f>
        <v/>
      </c>
    </row>
    <row r="64">
      <c r="A64" s="21" t="n"/>
      <c r="C64" s="21" t="n"/>
      <c r="D64" s="20">
        <f>IF(AND($C64="x",$A64&lt;&gt;""),$A64,"")</f>
        <v/>
      </c>
    </row>
    <row r="65">
      <c r="A65" s="21" t="n"/>
      <c r="C65" s="21" t="n"/>
      <c r="D65" s="20">
        <f>IF(AND($C65="x",$A65&lt;&gt;""),$A65,"")</f>
        <v/>
      </c>
    </row>
    <row r="66">
      <c r="A66" s="21" t="n"/>
      <c r="C66" s="21" t="n"/>
      <c r="D66" s="20">
        <f>IF(AND($C66="x",$A66&lt;&gt;""),$A66,"")</f>
        <v/>
      </c>
    </row>
    <row r="67">
      <c r="A67" s="21" t="n"/>
      <c r="C67" s="21" t="n"/>
      <c r="D67" s="20">
        <f>IF(AND($C67="x",$A67&lt;&gt;""),$A67,"")</f>
        <v/>
      </c>
    </row>
    <row r="68">
      <c r="A68" s="21" t="n"/>
      <c r="C68" s="21" t="n"/>
      <c r="D68" s="20">
        <f>IF(AND($C68="x",$A68&lt;&gt;""),$A68,"")</f>
        <v/>
      </c>
    </row>
    <row r="69">
      <c r="A69" s="21" t="n"/>
      <c r="C69" s="21" t="n"/>
      <c r="D69" s="20">
        <f>IF(AND($C69="x",$A69&lt;&gt;""),$A69,"")</f>
        <v/>
      </c>
    </row>
    <row r="70">
      <c r="A70" s="21" t="n"/>
      <c r="C70" s="21" t="n"/>
      <c r="D70" s="20">
        <f>IF(AND($C70="x",$A70&lt;&gt;""),$A70,"")</f>
        <v/>
      </c>
    </row>
    <row r="71">
      <c r="A71" s="21" t="n"/>
      <c r="C71" s="21" t="n"/>
      <c r="D71" s="20">
        <f>IF(AND($C71="x",$A71&lt;&gt;""),$A71,"")</f>
        <v/>
      </c>
    </row>
    <row r="72">
      <c r="A72" s="21" t="n"/>
      <c r="C72" s="21" t="n"/>
      <c r="D72" s="20">
        <f>IF(AND($C72="x",$A72&lt;&gt;""),$A72,"")</f>
        <v/>
      </c>
    </row>
    <row r="73">
      <c r="A73" s="21" t="n"/>
      <c r="C73" s="21" t="n"/>
      <c r="D73" s="20">
        <f>IF(AND($C73="x",$A73&lt;&gt;""),$A73,"")</f>
        <v/>
      </c>
    </row>
    <row r="74">
      <c r="A74" s="21" t="n"/>
      <c r="C74" s="21" t="n"/>
      <c r="D74" s="20">
        <f>IF(AND($C74="x",$A74&lt;&gt;""),$A74,"")</f>
        <v/>
      </c>
    </row>
    <row r="75">
      <c r="A75" s="21" t="n"/>
      <c r="C75" s="21" t="n"/>
      <c r="D75" s="20">
        <f>IF(AND($C75="x",$A75&lt;&gt;""),$A75,"")</f>
        <v/>
      </c>
    </row>
    <row r="76">
      <c r="A76" s="21" t="n"/>
      <c r="C76" s="21" t="n"/>
      <c r="D76" s="20">
        <f>IF(AND($C76="x",$A76&lt;&gt;""),$A76,"")</f>
        <v/>
      </c>
    </row>
    <row r="77">
      <c r="A77" s="21" t="n"/>
      <c r="C77" s="21" t="n"/>
      <c r="D77" s="20">
        <f>IF(AND($C77="x",$A77&lt;&gt;""),$A77,"")</f>
        <v/>
      </c>
    </row>
    <row r="78">
      <c r="A78" s="21" t="n"/>
      <c r="C78" s="21" t="n"/>
      <c r="D78" s="20">
        <f>IF(AND($C78="x",$A78&lt;&gt;""),$A78,"")</f>
        <v/>
      </c>
    </row>
    <row r="79">
      <c r="A79" s="21" t="n"/>
      <c r="C79" s="21" t="n"/>
      <c r="D79" s="20">
        <f>IF(AND($C79="x",$A79&lt;&gt;""),$A79,"")</f>
        <v/>
      </c>
    </row>
    <row r="80">
      <c r="A80" s="21" t="n"/>
      <c r="C80" s="21" t="n"/>
      <c r="D80" s="20">
        <f>IF(AND($C80="x",$A80&lt;&gt;""),$A80,"")</f>
        <v/>
      </c>
    </row>
  </sheetData>
  <mergeCells count="2">
    <mergeCell ref="A19:C19"/>
    <mergeCell ref="B8:D8"/>
  </mergeCells>
  <dataValidations count="1">
    <dataValidation sqref="C12 C13 C14 C15 C16 C17 C18 C19 C20 C21 C22 C23 C24 C25 C26 C27 C28 C29 C30 C31 C32 C33 C34 C35 C36 C37 C38 C39 C40 C41 C42 C43 C44 C45 C46 C47 C48 C49 C50 C51 C52 C53 C54 C55 C56 C57 C58 C59 C60 C61 C62 C63 C64 C65 C66 C67 C68 C69 C70 C71 C72 C73 C74 C75 C76 C77 C78 C79 C80" showDropDown="0" showInputMessage="0" showErrorMessage="1" allowBlank="1" errorTitle="Alleen x" error="Zet een x om het veld op te nemen, of laat de cel leeg." type="list">
      <formula1>"x"</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80"/>
  <sheetViews>
    <sheetView workbookViewId="0">
      <pane ySplit="11" topLeftCell="A12" activePane="bottomLeft" state="frozen"/>
      <selection pane="bottomLeft" activeCell="A1" sqref="A1"/>
    </sheetView>
  </sheetViews>
  <sheetFormatPr baseColWidth="8" defaultRowHeight="15"/>
  <cols>
    <col width="44" customWidth="1" min="1" max="1"/>
    <col width="62" customWidth="1" min="2" max="2"/>
    <col width="13" customWidth="1" min="3" max="3"/>
    <col hidden="1" width="10" customWidth="1" min="4" max="4"/>
  </cols>
  <sheetData>
    <row r="1">
      <c r="A1" s="13" t="inlineStr">
        <is>
          <t>Windsor-export: Google Ads campagnes</t>
        </is>
      </c>
      <c r="C1" s="14" t="inlineStr">
        <is>
          <t>Status: Aanbevolen · Ads → Google Ads + ROAS</t>
        </is>
      </c>
    </row>
    <row r="2">
      <c r="A2" s="3" t="inlineStr">
        <is>
          <t>Connector</t>
        </is>
      </c>
      <c r="B2" s="6" t="inlineStr">
        <is>
          <t>google_ads</t>
        </is>
      </c>
    </row>
    <row r="3">
      <c r="A3" s="3" t="inlineStr">
        <is>
          <t>Account-id (uit Instellingen)</t>
        </is>
      </c>
      <c r="B3" s="15">
        <f>Instellingen!$B$14</f>
        <v/>
      </c>
    </row>
    <row r="4">
      <c r="A4" s="3" t="inlineStr">
        <is>
          <t>Taaknaam (Task name)</t>
        </is>
      </c>
      <c r="B4" s="15">
        <f>"Windsor - Sheets - Google Ads campagnes - "&amp;Instellingen!$B$3</f>
        <v/>
      </c>
    </row>
    <row r="5">
      <c r="A5" s="3" t="inlineStr">
        <is>
          <t>Tabnaam (Sheet Name)</t>
        </is>
      </c>
      <c r="B5" s="15">
        <f>"Google Ads - campagnes - "&amp;Instellingen!$B$3&amp;" - windsor.ai"</f>
        <v/>
      </c>
      <c r="C5" s="12" t="inlineStr">
        <is>
          <t>Herkenning in api/_sheetdata.js gaat op bron + niveau in deze naam; hou het voorstel aan.</t>
        </is>
      </c>
    </row>
    <row r="6">
      <c r="A6" s="3" t="inlineStr">
        <is>
          <t>Columns to Match (rows to replace)</t>
        </is>
      </c>
      <c r="B6" s="6" t="inlineStr">
        <is>
          <t>date</t>
        </is>
      </c>
      <c r="C6" s="12" t="inlineStr">
        <is>
          <t>Voorstel; zoals bij de bestaande exports.</t>
        </is>
      </c>
    </row>
    <row r="7">
      <c r="A7" s="3" t="inlineStr">
        <is>
          <t>Schedule</t>
        </is>
      </c>
      <c r="B7" s="6" t="inlineStr">
        <is>
          <t>Daily · 00:00 UTC · Target Cell A1 · Authentication: Google Account</t>
        </is>
      </c>
    </row>
    <row r="8" ht="90" customHeight="1">
      <c r="A8" s="3" t="inlineStr">
        <is>
          <t>Query (gegenereerd — api_key blijft leeg)</t>
        </is>
      </c>
      <c r="B8" s="16">
        <f>"https://connectors.windsor.ai/"&amp;$B$2&amp;"?api_key="&amp;IF(Instellingen!$B$4&lt;&gt;"","&amp;date_preset="&amp;Instellingen!$B$4,"")&amp;"&amp;fields="&amp;_xlfn.TEXTJOIN(",",TRUE,$D$12:$D$80)&amp;IF($B$3&lt;&gt;"","&amp;select_accounts="&amp;$B$3,"")&amp;IF(Instellingen!$B$5&lt;&gt;"","&amp;_field_headers="&amp;Instellingen!$B$5,"")</f>
        <v/>
      </c>
    </row>
    <row r="9">
      <c r="A9" s="3" t="inlineStr">
        <is>
          <t>Aantal velden in de query</t>
        </is>
      </c>
      <c r="B9" s="17">
        <f>COUNTIF($C$12:$C$80,"x")</f>
        <v/>
      </c>
    </row>
    <row r="11">
      <c r="A11" s="8" t="inlineStr">
        <is>
          <t>Veld (Windsor-id)</t>
        </is>
      </c>
      <c r="B11" s="8" t="inlineStr">
        <is>
          <t>Gebruik in het dashboard</t>
        </is>
      </c>
      <c r="C11" s="8" t="inlineStr">
        <is>
          <t>Opnemen (x)</t>
        </is>
      </c>
      <c r="D11" s="8" t="inlineStr">
        <is>
          <t>→ query</t>
        </is>
      </c>
    </row>
    <row r="12">
      <c r="A12" s="9" t="inlineStr">
        <is>
          <t>date</t>
        </is>
      </c>
      <c r="B12" s="18" t="inlineStr">
        <is>
          <t>Datumkolom: 'Columns to Match' en periodefilter</t>
        </is>
      </c>
      <c r="C12" s="19" t="inlineStr">
        <is>
          <t>x</t>
        </is>
      </c>
      <c r="D12" s="20">
        <f>IF(AND($C12="x",$A12&lt;&gt;""),$A12,"")</f>
        <v/>
      </c>
    </row>
    <row r="13">
      <c r="A13" s="9" t="inlineStr">
        <is>
          <t>account_id</t>
        </is>
      </c>
      <c r="B13" s="18" t="inlineStr">
        <is>
          <t>Accountcontrole: alleen rijen van dit account tellen mee</t>
        </is>
      </c>
      <c r="C13" s="19" t="inlineStr">
        <is>
          <t>x</t>
        </is>
      </c>
      <c r="D13" s="20">
        <f>IF(AND($C13="x",$A13&lt;&gt;""),$A13,"")</f>
        <v/>
      </c>
    </row>
    <row r="14">
      <c r="A14" s="9" t="inlineStr">
        <is>
          <t>account_name</t>
        </is>
      </c>
      <c r="B14" s="18" t="inlineStr">
        <is>
          <t>Idem, leesbaar</t>
        </is>
      </c>
      <c r="C14" s="19" t="inlineStr">
        <is>
          <t>x</t>
        </is>
      </c>
      <c r="D14" s="20">
        <f>IF(AND($C14="x",$A14&lt;&gt;""),$A14,"")</f>
        <v/>
      </c>
    </row>
    <row r="15">
      <c r="A15" s="9" t="inlineStr">
        <is>
          <t>campaign_id</t>
        </is>
      </c>
      <c r="B15" s="18" t="inlineStr">
        <is>
          <t>Campagne-id</t>
        </is>
      </c>
      <c r="C15" s="19" t="inlineStr">
        <is>
          <t>x</t>
        </is>
      </c>
      <c r="D15" s="20">
        <f>IF(AND($C15="x",$A15&lt;&gt;""),$A15,"")</f>
        <v/>
      </c>
    </row>
    <row r="16">
      <c r="A16" s="9" t="inlineStr">
        <is>
          <t>campaign</t>
        </is>
      </c>
      <c r="B16" s="18" t="inlineStr">
        <is>
          <t>Campagnenaam</t>
        </is>
      </c>
      <c r="C16" s="19" t="inlineStr">
        <is>
          <t>x</t>
        </is>
      </c>
      <c r="D16" s="20">
        <f>IF(AND($C16="x",$A16&lt;&gt;""),$A16,"")</f>
        <v/>
      </c>
    </row>
    <row r="17">
      <c r="A17" s="9" t="inlineStr">
        <is>
          <t>campaign_type</t>
        </is>
      </c>
      <c r="B17" s="18" t="inlineStr">
        <is>
          <t>Type</t>
        </is>
      </c>
      <c r="C17" s="19" t="inlineStr">
        <is>
          <t>x</t>
        </is>
      </c>
      <c r="D17" s="20">
        <f>IF(AND($C17="x",$A17&lt;&gt;""),$A17,"")</f>
        <v/>
      </c>
    </row>
    <row r="18">
      <c r="A18" s="9" t="inlineStr">
        <is>
          <t>campaign_status</t>
        </is>
      </c>
      <c r="B18" s="18" t="inlineStr">
        <is>
          <t>Status</t>
        </is>
      </c>
      <c r="C18" s="19" t="inlineStr">
        <is>
          <t>x</t>
        </is>
      </c>
      <c r="D18" s="20">
        <f>IF(AND($C18="x",$A18&lt;&gt;""),$A18,"")</f>
        <v/>
      </c>
    </row>
    <row r="19">
      <c r="A19" s="9" t="inlineStr">
        <is>
          <t>impressions</t>
        </is>
      </c>
      <c r="B19" s="18" t="inlineStr">
        <is>
          <t>Vertoningen</t>
        </is>
      </c>
      <c r="C19" s="19" t="inlineStr">
        <is>
          <t>x</t>
        </is>
      </c>
      <c r="D19" s="20">
        <f>IF(AND($C19="x",$A19&lt;&gt;""),$A19,"")</f>
        <v/>
      </c>
    </row>
    <row r="20">
      <c r="A20" s="9" t="inlineStr">
        <is>
          <t>clicks</t>
        </is>
      </c>
      <c r="B20" s="18" t="inlineStr">
        <is>
          <t>Kliks</t>
        </is>
      </c>
      <c r="C20" s="19" t="inlineStr">
        <is>
          <t>x</t>
        </is>
      </c>
      <c r="D20" s="20">
        <f>IF(AND($C20="x",$A20&lt;&gt;""),$A20,"")</f>
        <v/>
      </c>
    </row>
    <row r="21">
      <c r="A21" s="9" t="inlineStr">
        <is>
          <t>totalcost</t>
        </is>
      </c>
      <c r="B21" s="18" t="inlineStr">
        <is>
          <t>Kosten</t>
        </is>
      </c>
      <c r="C21" s="19" t="inlineStr">
        <is>
          <t>x</t>
        </is>
      </c>
      <c r="D21" s="20">
        <f>IF(AND($C21="x",$A21&lt;&gt;""),$A21,"")</f>
        <v/>
      </c>
    </row>
    <row r="22">
      <c r="A22" s="9" t="inlineStr">
        <is>
          <t>conversions</t>
        </is>
      </c>
      <c r="B22" s="18" t="inlineStr">
        <is>
          <t>Conversies — nooit all_conversions</t>
        </is>
      </c>
      <c r="C22" s="19" t="inlineStr">
        <is>
          <t>x</t>
        </is>
      </c>
      <c r="D22" s="20">
        <f>IF(AND($C22="x",$A22&lt;&gt;""),$A22,"")</f>
        <v/>
      </c>
    </row>
    <row r="23">
      <c r="A23" s="9" t="inlineStr">
        <is>
          <t>conversion_value</t>
        </is>
      </c>
      <c r="B23" s="18" t="inlineStr">
        <is>
          <t>Conversiewaarde (platform-ROAS in de ROAS-tab)</t>
        </is>
      </c>
      <c r="C23" s="19" t="inlineStr">
        <is>
          <t>x</t>
        </is>
      </c>
      <c r="D23" s="20">
        <f>IF(AND($C23="x",$A23&lt;&gt;""),$A23,"")</f>
        <v/>
      </c>
    </row>
    <row r="24">
      <c r="A24" s="14" t="inlineStr">
        <is>
          <t>Eigen veld toevoegen: zet hieronder het Windsor-veld-id in kolom A en een x in kolom C (tot rij 80).</t>
        </is>
      </c>
    </row>
    <row r="25">
      <c r="A25" s="21" t="n"/>
      <c r="C25" s="21" t="n"/>
      <c r="D25" s="20">
        <f>IF(AND($C25="x",$A25&lt;&gt;""),$A25,"")</f>
        <v/>
      </c>
    </row>
    <row r="26">
      <c r="A26" s="21" t="n"/>
      <c r="C26" s="21" t="n"/>
      <c r="D26" s="20">
        <f>IF(AND($C26="x",$A26&lt;&gt;""),$A26,"")</f>
        <v/>
      </c>
    </row>
    <row r="27">
      <c r="A27" s="21" t="n"/>
      <c r="C27" s="21" t="n"/>
      <c r="D27" s="20">
        <f>IF(AND($C27="x",$A27&lt;&gt;""),$A27,"")</f>
        <v/>
      </c>
    </row>
    <row r="28">
      <c r="A28" s="21" t="n"/>
      <c r="C28" s="21" t="n"/>
      <c r="D28" s="20">
        <f>IF(AND($C28="x",$A28&lt;&gt;""),$A28,"")</f>
        <v/>
      </c>
    </row>
    <row r="29">
      <c r="A29" s="21" t="n"/>
      <c r="C29" s="21" t="n"/>
      <c r="D29" s="20">
        <f>IF(AND($C29="x",$A29&lt;&gt;""),$A29,"")</f>
        <v/>
      </c>
    </row>
    <row r="30">
      <c r="A30" s="21" t="n"/>
      <c r="C30" s="21" t="n"/>
      <c r="D30" s="20">
        <f>IF(AND($C30="x",$A30&lt;&gt;""),$A30,"")</f>
        <v/>
      </c>
    </row>
    <row r="31">
      <c r="A31" s="21" t="n"/>
      <c r="C31" s="21" t="n"/>
      <c r="D31" s="20">
        <f>IF(AND($C31="x",$A31&lt;&gt;""),$A31,"")</f>
        <v/>
      </c>
    </row>
    <row r="32">
      <c r="A32" s="21" t="n"/>
      <c r="C32" s="21" t="n"/>
      <c r="D32" s="20">
        <f>IF(AND($C32="x",$A32&lt;&gt;""),$A32,"")</f>
        <v/>
      </c>
    </row>
    <row r="33">
      <c r="A33" s="21" t="n"/>
      <c r="C33" s="21" t="n"/>
      <c r="D33" s="20">
        <f>IF(AND($C33="x",$A33&lt;&gt;""),$A33,"")</f>
        <v/>
      </c>
    </row>
    <row r="34">
      <c r="A34" s="21" t="n"/>
      <c r="C34" s="21" t="n"/>
      <c r="D34" s="20">
        <f>IF(AND($C34="x",$A34&lt;&gt;""),$A34,"")</f>
        <v/>
      </c>
    </row>
    <row r="35">
      <c r="A35" s="21" t="n"/>
      <c r="C35" s="21" t="n"/>
      <c r="D35" s="20">
        <f>IF(AND($C35="x",$A35&lt;&gt;""),$A35,"")</f>
        <v/>
      </c>
    </row>
    <row r="36">
      <c r="A36" s="21" t="n"/>
      <c r="C36" s="21" t="n"/>
      <c r="D36" s="20">
        <f>IF(AND($C36="x",$A36&lt;&gt;""),$A36,"")</f>
        <v/>
      </c>
    </row>
    <row r="37">
      <c r="A37" s="21" t="n"/>
      <c r="C37" s="21" t="n"/>
      <c r="D37" s="20">
        <f>IF(AND($C37="x",$A37&lt;&gt;""),$A37,"")</f>
        <v/>
      </c>
    </row>
    <row r="38">
      <c r="A38" s="21" t="n"/>
      <c r="C38" s="21" t="n"/>
      <c r="D38" s="20">
        <f>IF(AND($C38="x",$A38&lt;&gt;""),$A38,"")</f>
        <v/>
      </c>
    </row>
    <row r="39">
      <c r="A39" s="21" t="n"/>
      <c r="C39" s="21" t="n"/>
      <c r="D39" s="20">
        <f>IF(AND($C39="x",$A39&lt;&gt;""),$A39,"")</f>
        <v/>
      </c>
    </row>
    <row r="40">
      <c r="A40" s="21" t="n"/>
      <c r="C40" s="21" t="n"/>
      <c r="D40" s="20">
        <f>IF(AND($C40="x",$A40&lt;&gt;""),$A40,"")</f>
        <v/>
      </c>
    </row>
    <row r="41">
      <c r="A41" s="21" t="n"/>
      <c r="C41" s="21" t="n"/>
      <c r="D41" s="20">
        <f>IF(AND($C41="x",$A41&lt;&gt;""),$A41,"")</f>
        <v/>
      </c>
    </row>
    <row r="42">
      <c r="A42" s="21" t="n"/>
      <c r="C42" s="21" t="n"/>
      <c r="D42" s="20">
        <f>IF(AND($C42="x",$A42&lt;&gt;""),$A42,"")</f>
        <v/>
      </c>
    </row>
    <row r="43">
      <c r="A43" s="21" t="n"/>
      <c r="C43" s="21" t="n"/>
      <c r="D43" s="20">
        <f>IF(AND($C43="x",$A43&lt;&gt;""),$A43,"")</f>
        <v/>
      </c>
    </row>
    <row r="44">
      <c r="A44" s="21" t="n"/>
      <c r="C44" s="21" t="n"/>
      <c r="D44" s="20">
        <f>IF(AND($C44="x",$A44&lt;&gt;""),$A44,"")</f>
        <v/>
      </c>
    </row>
    <row r="45">
      <c r="A45" s="21" t="n"/>
      <c r="C45" s="21" t="n"/>
      <c r="D45" s="20">
        <f>IF(AND($C45="x",$A45&lt;&gt;""),$A45,"")</f>
        <v/>
      </c>
    </row>
    <row r="46">
      <c r="A46" s="21" t="n"/>
      <c r="C46" s="21" t="n"/>
      <c r="D46" s="20">
        <f>IF(AND($C46="x",$A46&lt;&gt;""),$A46,"")</f>
        <v/>
      </c>
    </row>
    <row r="47">
      <c r="A47" s="21" t="n"/>
      <c r="C47" s="21" t="n"/>
      <c r="D47" s="20">
        <f>IF(AND($C47="x",$A47&lt;&gt;""),$A47,"")</f>
        <v/>
      </c>
    </row>
    <row r="48">
      <c r="A48" s="21" t="n"/>
      <c r="C48" s="21" t="n"/>
      <c r="D48" s="20">
        <f>IF(AND($C48="x",$A48&lt;&gt;""),$A48,"")</f>
        <v/>
      </c>
    </row>
    <row r="49">
      <c r="A49" s="21" t="n"/>
      <c r="C49" s="21" t="n"/>
      <c r="D49" s="20">
        <f>IF(AND($C49="x",$A49&lt;&gt;""),$A49,"")</f>
        <v/>
      </c>
    </row>
    <row r="50">
      <c r="A50" s="21" t="n"/>
      <c r="C50" s="21" t="n"/>
      <c r="D50" s="20">
        <f>IF(AND($C50="x",$A50&lt;&gt;""),$A50,"")</f>
        <v/>
      </c>
    </row>
    <row r="51">
      <c r="A51" s="21" t="n"/>
      <c r="C51" s="21" t="n"/>
      <c r="D51" s="20">
        <f>IF(AND($C51="x",$A51&lt;&gt;""),$A51,"")</f>
        <v/>
      </c>
    </row>
    <row r="52">
      <c r="A52" s="21" t="n"/>
      <c r="C52" s="21" t="n"/>
      <c r="D52" s="20">
        <f>IF(AND($C52="x",$A52&lt;&gt;""),$A52,"")</f>
        <v/>
      </c>
    </row>
    <row r="53">
      <c r="A53" s="21" t="n"/>
      <c r="C53" s="21" t="n"/>
      <c r="D53" s="20">
        <f>IF(AND($C53="x",$A53&lt;&gt;""),$A53,"")</f>
        <v/>
      </c>
    </row>
    <row r="54">
      <c r="A54" s="21" t="n"/>
      <c r="C54" s="21" t="n"/>
      <c r="D54" s="20">
        <f>IF(AND($C54="x",$A54&lt;&gt;""),$A54,"")</f>
        <v/>
      </c>
    </row>
    <row r="55">
      <c r="A55" s="21" t="n"/>
      <c r="C55" s="21" t="n"/>
      <c r="D55" s="20">
        <f>IF(AND($C55="x",$A55&lt;&gt;""),$A55,"")</f>
        <v/>
      </c>
    </row>
    <row r="56">
      <c r="A56" s="21" t="n"/>
      <c r="C56" s="21" t="n"/>
      <c r="D56" s="20">
        <f>IF(AND($C56="x",$A56&lt;&gt;""),$A56,"")</f>
        <v/>
      </c>
    </row>
    <row r="57">
      <c r="A57" s="21" t="n"/>
      <c r="C57" s="21" t="n"/>
      <c r="D57" s="20">
        <f>IF(AND($C57="x",$A57&lt;&gt;""),$A57,"")</f>
        <v/>
      </c>
    </row>
    <row r="58">
      <c r="A58" s="21" t="n"/>
      <c r="C58" s="21" t="n"/>
      <c r="D58" s="20">
        <f>IF(AND($C58="x",$A58&lt;&gt;""),$A58,"")</f>
        <v/>
      </c>
    </row>
    <row r="59">
      <c r="A59" s="21" t="n"/>
      <c r="C59" s="21" t="n"/>
      <c r="D59" s="20">
        <f>IF(AND($C59="x",$A59&lt;&gt;""),$A59,"")</f>
        <v/>
      </c>
    </row>
    <row r="60">
      <c r="A60" s="21" t="n"/>
      <c r="C60" s="21" t="n"/>
      <c r="D60" s="20">
        <f>IF(AND($C60="x",$A60&lt;&gt;""),$A60,"")</f>
        <v/>
      </c>
    </row>
    <row r="61">
      <c r="A61" s="21" t="n"/>
      <c r="C61" s="21" t="n"/>
      <c r="D61" s="20">
        <f>IF(AND($C61="x",$A61&lt;&gt;""),$A61,"")</f>
        <v/>
      </c>
    </row>
    <row r="62">
      <c r="A62" s="21" t="n"/>
      <c r="C62" s="21" t="n"/>
      <c r="D62" s="20">
        <f>IF(AND($C62="x",$A62&lt;&gt;""),$A62,"")</f>
        <v/>
      </c>
    </row>
    <row r="63">
      <c r="A63" s="21" t="n"/>
      <c r="C63" s="21" t="n"/>
      <c r="D63" s="20">
        <f>IF(AND($C63="x",$A63&lt;&gt;""),$A63,"")</f>
        <v/>
      </c>
    </row>
    <row r="64">
      <c r="A64" s="21" t="n"/>
      <c r="C64" s="21" t="n"/>
      <c r="D64" s="20">
        <f>IF(AND($C64="x",$A64&lt;&gt;""),$A64,"")</f>
        <v/>
      </c>
    </row>
    <row r="65">
      <c r="A65" s="21" t="n"/>
      <c r="C65" s="21" t="n"/>
      <c r="D65" s="20">
        <f>IF(AND($C65="x",$A65&lt;&gt;""),$A65,"")</f>
        <v/>
      </c>
    </row>
    <row r="66">
      <c r="A66" s="21" t="n"/>
      <c r="C66" s="21" t="n"/>
      <c r="D66" s="20">
        <f>IF(AND($C66="x",$A66&lt;&gt;""),$A66,"")</f>
        <v/>
      </c>
    </row>
    <row r="67">
      <c r="A67" s="21" t="n"/>
      <c r="C67" s="21" t="n"/>
      <c r="D67" s="20">
        <f>IF(AND($C67="x",$A67&lt;&gt;""),$A67,"")</f>
        <v/>
      </c>
    </row>
    <row r="68">
      <c r="A68" s="21" t="n"/>
      <c r="C68" s="21" t="n"/>
      <c r="D68" s="20">
        <f>IF(AND($C68="x",$A68&lt;&gt;""),$A68,"")</f>
        <v/>
      </c>
    </row>
    <row r="69">
      <c r="A69" s="21" t="n"/>
      <c r="C69" s="21" t="n"/>
      <c r="D69" s="20">
        <f>IF(AND($C69="x",$A69&lt;&gt;""),$A69,"")</f>
        <v/>
      </c>
    </row>
    <row r="70">
      <c r="A70" s="21" t="n"/>
      <c r="C70" s="21" t="n"/>
      <c r="D70" s="20">
        <f>IF(AND($C70="x",$A70&lt;&gt;""),$A70,"")</f>
        <v/>
      </c>
    </row>
    <row r="71">
      <c r="A71" s="21" t="n"/>
      <c r="C71" s="21" t="n"/>
      <c r="D71" s="20">
        <f>IF(AND($C71="x",$A71&lt;&gt;""),$A71,"")</f>
        <v/>
      </c>
    </row>
    <row r="72">
      <c r="A72" s="21" t="n"/>
      <c r="C72" s="21" t="n"/>
      <c r="D72" s="20">
        <f>IF(AND($C72="x",$A72&lt;&gt;""),$A72,"")</f>
        <v/>
      </c>
    </row>
    <row r="73">
      <c r="A73" s="21" t="n"/>
      <c r="C73" s="21" t="n"/>
      <c r="D73" s="20">
        <f>IF(AND($C73="x",$A73&lt;&gt;""),$A73,"")</f>
        <v/>
      </c>
    </row>
    <row r="74">
      <c r="A74" s="21" t="n"/>
      <c r="C74" s="21" t="n"/>
      <c r="D74" s="20">
        <f>IF(AND($C74="x",$A74&lt;&gt;""),$A74,"")</f>
        <v/>
      </c>
    </row>
    <row r="75">
      <c r="A75" s="21" t="n"/>
      <c r="C75" s="21" t="n"/>
      <c r="D75" s="20">
        <f>IF(AND($C75="x",$A75&lt;&gt;""),$A75,"")</f>
        <v/>
      </c>
    </row>
    <row r="76">
      <c r="A76" s="21" t="n"/>
      <c r="C76" s="21" t="n"/>
      <c r="D76" s="20">
        <f>IF(AND($C76="x",$A76&lt;&gt;""),$A76,"")</f>
        <v/>
      </c>
    </row>
    <row r="77">
      <c r="A77" s="21" t="n"/>
      <c r="C77" s="21" t="n"/>
      <c r="D77" s="20">
        <f>IF(AND($C77="x",$A77&lt;&gt;""),$A77,"")</f>
        <v/>
      </c>
    </row>
    <row r="78">
      <c r="A78" s="21" t="n"/>
      <c r="C78" s="21" t="n"/>
      <c r="D78" s="20">
        <f>IF(AND($C78="x",$A78&lt;&gt;""),$A78,"")</f>
        <v/>
      </c>
    </row>
    <row r="79">
      <c r="A79" s="21" t="n"/>
      <c r="C79" s="21" t="n"/>
      <c r="D79" s="20">
        <f>IF(AND($C79="x",$A79&lt;&gt;""),$A79,"")</f>
        <v/>
      </c>
    </row>
    <row r="80">
      <c r="A80" s="21" t="n"/>
      <c r="C80" s="21" t="n"/>
      <c r="D80" s="20">
        <f>IF(AND($C80="x",$A80&lt;&gt;""),$A80,"")</f>
        <v/>
      </c>
    </row>
  </sheetData>
  <mergeCells count="2">
    <mergeCell ref="A24:C24"/>
    <mergeCell ref="B8:D8"/>
  </mergeCells>
  <dataValidations count="1">
    <dataValidation sqref="C12 C13 C14 C15 C16 C17 C18 C19 C20 C21 C22 C23 C24 C25 C26 C27 C28 C29 C30 C31 C32 C33 C34 C35 C36 C37 C38 C39 C40 C41 C42 C43 C44 C45 C46 C47 C48 C49 C50 C51 C52 C53 C54 C55 C56 C57 C58 C59 C60 C61 C62 C63 C64 C65 C66 C67 C68 C69 C70 C71 C72 C73 C74 C75 C76 C77 C78 C79 C80" showDropDown="0" showInputMessage="0" showErrorMessage="1" allowBlank="1" errorTitle="Alleen x" error="Zet een x om het veld op te nemen, of laat de cel leeg." type="list">
      <formula1>"x"</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80"/>
  <sheetViews>
    <sheetView workbookViewId="0">
      <pane ySplit="11" topLeftCell="A12" activePane="bottomLeft" state="frozen"/>
      <selection pane="bottomLeft" activeCell="A1" sqref="A1"/>
    </sheetView>
  </sheetViews>
  <sheetFormatPr baseColWidth="8" defaultRowHeight="15"/>
  <cols>
    <col width="44" customWidth="1" min="1" max="1"/>
    <col width="62" customWidth="1" min="2" max="2"/>
    <col width="13" customWidth="1" min="3" max="3"/>
    <col hidden="1" width="10" customWidth="1" min="4" max="4"/>
  </cols>
  <sheetData>
    <row r="1">
      <c r="A1" s="13" t="inlineStr">
        <is>
          <t>Windsor-export: Google Ads vertoningsaandeel</t>
        </is>
      </c>
      <c r="C1" s="14" t="inlineStr">
        <is>
          <t>Status: Aanbevolen · Ads → Google Ads vertoningsaandeel</t>
        </is>
      </c>
    </row>
    <row r="2">
      <c r="A2" s="3" t="inlineStr">
        <is>
          <t>Connector</t>
        </is>
      </c>
      <c r="B2" s="6" t="inlineStr">
        <is>
          <t>google_ads</t>
        </is>
      </c>
    </row>
    <row r="3">
      <c r="A3" s="3" t="inlineStr">
        <is>
          <t>Account-id (uit Instellingen)</t>
        </is>
      </c>
      <c r="B3" s="15">
        <f>Instellingen!$B$14</f>
        <v/>
      </c>
    </row>
    <row r="4">
      <c r="A4" s="3" t="inlineStr">
        <is>
          <t>Taaknaam (Task name)</t>
        </is>
      </c>
      <c r="B4" s="15">
        <f>"Windsor - Sheets - Google Ads vertoningsaandeel - "&amp;Instellingen!$B$3</f>
        <v/>
      </c>
    </row>
    <row r="5">
      <c r="A5" s="3" t="inlineStr">
        <is>
          <t>Tabnaam (Sheet Name)</t>
        </is>
      </c>
      <c r="B5" s="15">
        <f>"Google Ads - vertoningsaandeel - "&amp;Instellingen!$B$3&amp;" - windsor.ai"</f>
        <v/>
      </c>
      <c r="C5" s="12" t="inlineStr">
        <is>
          <t>Herkenning in api/_sheetdata.js gaat op bron + niveau in deze naam; hou het voorstel aan.</t>
        </is>
      </c>
    </row>
    <row r="6">
      <c r="A6" s="3" t="inlineStr">
        <is>
          <t>Columns to Match (rows to replace)</t>
        </is>
      </c>
      <c r="B6" s="6" t="inlineStr">
        <is>
          <t>date</t>
        </is>
      </c>
      <c r="C6" s="12" t="inlineStr">
        <is>
          <t>Voorstel; zoals bij de bestaande exports.</t>
        </is>
      </c>
    </row>
    <row r="7">
      <c r="A7" s="3" t="inlineStr">
        <is>
          <t>Schedule</t>
        </is>
      </c>
      <c r="B7" s="6" t="inlineStr">
        <is>
          <t>Daily · 00:00 UTC · Target Cell A1 · Authentication: Google Account</t>
        </is>
      </c>
    </row>
    <row r="8" ht="90" customHeight="1">
      <c r="A8" s="3" t="inlineStr">
        <is>
          <t>Query (gegenereerd — api_key blijft leeg)</t>
        </is>
      </c>
      <c r="B8" s="16">
        <f>"https://connectors.windsor.ai/"&amp;$B$2&amp;"?api_key="&amp;IF(Instellingen!$B$4&lt;&gt;"","&amp;date_preset="&amp;Instellingen!$B$4,"")&amp;"&amp;fields="&amp;_xlfn.TEXTJOIN(",",TRUE,$D$12:$D$80)&amp;IF($B$3&lt;&gt;"","&amp;select_accounts="&amp;$B$3,"")&amp;IF(Instellingen!$B$5&lt;&gt;"","&amp;_field_headers="&amp;Instellingen!$B$5,"")</f>
        <v/>
      </c>
    </row>
    <row r="9">
      <c r="A9" s="3" t="inlineStr">
        <is>
          <t>Aantal velden in de query</t>
        </is>
      </c>
      <c r="B9" s="17">
        <f>COUNTIF($C$12:$C$80,"x")</f>
        <v/>
      </c>
    </row>
    <row r="11">
      <c r="A11" s="8" t="inlineStr">
        <is>
          <t>Veld (Windsor-id)</t>
        </is>
      </c>
      <c r="B11" s="8" t="inlineStr">
        <is>
          <t>Gebruik in het dashboard</t>
        </is>
      </c>
      <c r="C11" s="8" t="inlineStr">
        <is>
          <t>Opnemen (x)</t>
        </is>
      </c>
      <c r="D11" s="8" t="inlineStr">
        <is>
          <t>→ query</t>
        </is>
      </c>
    </row>
    <row r="12">
      <c r="A12" s="9" t="inlineStr">
        <is>
          <t>date</t>
        </is>
      </c>
      <c r="B12" s="18" t="inlineStr">
        <is>
          <t>Datumkolom: 'Columns to Match' en periodefilter</t>
        </is>
      </c>
      <c r="C12" s="19" t="inlineStr">
        <is>
          <t>x</t>
        </is>
      </c>
      <c r="D12" s="20">
        <f>IF(AND($C12="x",$A12&lt;&gt;""),$A12,"")</f>
        <v/>
      </c>
    </row>
    <row r="13">
      <c r="A13" s="9" t="inlineStr">
        <is>
          <t>account_id</t>
        </is>
      </c>
      <c r="B13" s="18" t="inlineStr">
        <is>
          <t>Accountcontrole: alleen rijen van dit account tellen mee</t>
        </is>
      </c>
      <c r="C13" s="19" t="inlineStr">
        <is>
          <t>x</t>
        </is>
      </c>
      <c r="D13" s="20">
        <f>IF(AND($C13="x",$A13&lt;&gt;""),$A13,"")</f>
        <v/>
      </c>
    </row>
    <row r="14">
      <c r="A14" s="9" t="inlineStr">
        <is>
          <t>account_name</t>
        </is>
      </c>
      <c r="B14" s="18" t="inlineStr">
        <is>
          <t>Idem, leesbaar</t>
        </is>
      </c>
      <c r="C14" s="19" t="inlineStr">
        <is>
          <t>x</t>
        </is>
      </c>
      <c r="D14" s="20">
        <f>IF(AND($C14="x",$A14&lt;&gt;""),$A14,"")</f>
        <v/>
      </c>
    </row>
    <row r="15">
      <c r="A15" s="9" t="inlineStr">
        <is>
          <t>campaign</t>
        </is>
      </c>
      <c r="B15" s="18" t="inlineStr">
        <is>
          <t>Campagnenaam</t>
        </is>
      </c>
      <c r="C15" s="19" t="inlineStr">
        <is>
          <t>x</t>
        </is>
      </c>
      <c r="D15" s="20">
        <f>IF(AND($C15="x",$A15&lt;&gt;""),$A15,"")</f>
        <v/>
      </c>
    </row>
    <row r="16">
      <c r="A16" s="9" t="inlineStr">
        <is>
          <t>impressions</t>
        </is>
      </c>
      <c r="B16" s="18" t="inlineStr">
        <is>
          <t>Vertoningen (noemer)</t>
        </is>
      </c>
      <c r="C16" s="19" t="inlineStr">
        <is>
          <t>x</t>
        </is>
      </c>
      <c r="D16" s="20">
        <f>IF(AND($C16="x",$A16&lt;&gt;""),$A16,"")</f>
        <v/>
      </c>
    </row>
    <row r="17">
      <c r="A17" s="9" t="inlineStr">
        <is>
          <t>search_impression_share</t>
        </is>
      </c>
      <c r="B17" s="18" t="inlineStr">
        <is>
          <t>Vertoningsaandeel</t>
        </is>
      </c>
      <c r="C17" s="19" t="inlineStr">
        <is>
          <t>x</t>
        </is>
      </c>
      <c r="D17" s="20">
        <f>IF(AND($C17="x",$A17&lt;&gt;""),$A17,"")</f>
        <v/>
      </c>
    </row>
    <row r="18">
      <c r="A18" s="9" t="inlineStr">
        <is>
          <t>search_budget_lost_impression_share</t>
        </is>
      </c>
      <c r="B18" s="18" t="inlineStr">
        <is>
          <t>Gemist door budget</t>
        </is>
      </c>
      <c r="C18" s="19" t="inlineStr">
        <is>
          <t>x</t>
        </is>
      </c>
      <c r="D18" s="20">
        <f>IF(AND($C18="x",$A18&lt;&gt;""),$A18,"")</f>
        <v/>
      </c>
    </row>
    <row r="19">
      <c r="A19" s="9" t="inlineStr">
        <is>
          <t>search_rank_lost_impression_share</t>
        </is>
      </c>
      <c r="B19" s="18" t="inlineStr">
        <is>
          <t>Gemist door rang</t>
        </is>
      </c>
      <c r="C19" s="19" t="inlineStr">
        <is>
          <t>x</t>
        </is>
      </c>
      <c r="D19" s="20">
        <f>IF(AND($C19="x",$A19&lt;&gt;""),$A19,"")</f>
        <v/>
      </c>
    </row>
    <row r="20">
      <c r="A20" s="14" t="inlineStr">
        <is>
          <t>Eigen veld toevoegen: zet hieronder het Windsor-veld-id in kolom A en een x in kolom C (tot rij 80).</t>
        </is>
      </c>
    </row>
    <row r="21">
      <c r="A21" s="21" t="n"/>
      <c r="C21" s="21" t="n"/>
      <c r="D21" s="20">
        <f>IF(AND($C21="x",$A21&lt;&gt;""),$A21,"")</f>
        <v/>
      </c>
    </row>
    <row r="22">
      <c r="A22" s="21" t="n"/>
      <c r="C22" s="21" t="n"/>
      <c r="D22" s="20">
        <f>IF(AND($C22="x",$A22&lt;&gt;""),$A22,"")</f>
        <v/>
      </c>
    </row>
    <row r="23">
      <c r="A23" s="21" t="n"/>
      <c r="C23" s="21" t="n"/>
      <c r="D23" s="20">
        <f>IF(AND($C23="x",$A23&lt;&gt;""),$A23,"")</f>
        <v/>
      </c>
    </row>
    <row r="24">
      <c r="A24" s="21" t="n"/>
      <c r="C24" s="21" t="n"/>
      <c r="D24" s="20">
        <f>IF(AND($C24="x",$A24&lt;&gt;""),$A24,"")</f>
        <v/>
      </c>
    </row>
    <row r="25">
      <c r="A25" s="21" t="n"/>
      <c r="C25" s="21" t="n"/>
      <c r="D25" s="20">
        <f>IF(AND($C25="x",$A25&lt;&gt;""),$A25,"")</f>
        <v/>
      </c>
    </row>
    <row r="26">
      <c r="A26" s="21" t="n"/>
      <c r="C26" s="21" t="n"/>
      <c r="D26" s="20">
        <f>IF(AND($C26="x",$A26&lt;&gt;""),$A26,"")</f>
        <v/>
      </c>
    </row>
    <row r="27">
      <c r="A27" s="21" t="n"/>
      <c r="C27" s="21" t="n"/>
      <c r="D27" s="20">
        <f>IF(AND($C27="x",$A27&lt;&gt;""),$A27,"")</f>
        <v/>
      </c>
    </row>
    <row r="28">
      <c r="A28" s="21" t="n"/>
      <c r="C28" s="21" t="n"/>
      <c r="D28" s="20">
        <f>IF(AND($C28="x",$A28&lt;&gt;""),$A28,"")</f>
        <v/>
      </c>
    </row>
    <row r="29">
      <c r="A29" s="21" t="n"/>
      <c r="C29" s="21" t="n"/>
      <c r="D29" s="20">
        <f>IF(AND($C29="x",$A29&lt;&gt;""),$A29,"")</f>
        <v/>
      </c>
    </row>
    <row r="30">
      <c r="A30" s="21" t="n"/>
      <c r="C30" s="21" t="n"/>
      <c r="D30" s="20">
        <f>IF(AND($C30="x",$A30&lt;&gt;""),$A30,"")</f>
        <v/>
      </c>
    </row>
    <row r="31">
      <c r="A31" s="21" t="n"/>
      <c r="C31" s="21" t="n"/>
      <c r="D31" s="20">
        <f>IF(AND($C31="x",$A31&lt;&gt;""),$A31,"")</f>
        <v/>
      </c>
    </row>
    <row r="32">
      <c r="A32" s="21" t="n"/>
      <c r="C32" s="21" t="n"/>
      <c r="D32" s="20">
        <f>IF(AND($C32="x",$A32&lt;&gt;""),$A32,"")</f>
        <v/>
      </c>
    </row>
    <row r="33">
      <c r="A33" s="21" t="n"/>
      <c r="C33" s="21" t="n"/>
      <c r="D33" s="20">
        <f>IF(AND($C33="x",$A33&lt;&gt;""),$A33,"")</f>
        <v/>
      </c>
    </row>
    <row r="34">
      <c r="A34" s="21" t="n"/>
      <c r="C34" s="21" t="n"/>
      <c r="D34" s="20">
        <f>IF(AND($C34="x",$A34&lt;&gt;""),$A34,"")</f>
        <v/>
      </c>
    </row>
    <row r="35">
      <c r="A35" s="21" t="n"/>
      <c r="C35" s="21" t="n"/>
      <c r="D35" s="20">
        <f>IF(AND($C35="x",$A35&lt;&gt;""),$A35,"")</f>
        <v/>
      </c>
    </row>
    <row r="36">
      <c r="A36" s="21" t="n"/>
      <c r="C36" s="21" t="n"/>
      <c r="D36" s="20">
        <f>IF(AND($C36="x",$A36&lt;&gt;""),$A36,"")</f>
        <v/>
      </c>
    </row>
    <row r="37">
      <c r="A37" s="21" t="n"/>
      <c r="C37" s="21" t="n"/>
      <c r="D37" s="20">
        <f>IF(AND($C37="x",$A37&lt;&gt;""),$A37,"")</f>
        <v/>
      </c>
    </row>
    <row r="38">
      <c r="A38" s="21" t="n"/>
      <c r="C38" s="21" t="n"/>
      <c r="D38" s="20">
        <f>IF(AND($C38="x",$A38&lt;&gt;""),$A38,"")</f>
        <v/>
      </c>
    </row>
    <row r="39">
      <c r="A39" s="21" t="n"/>
      <c r="C39" s="21" t="n"/>
      <c r="D39" s="20">
        <f>IF(AND($C39="x",$A39&lt;&gt;""),$A39,"")</f>
        <v/>
      </c>
    </row>
    <row r="40">
      <c r="A40" s="21" t="n"/>
      <c r="C40" s="21" t="n"/>
      <c r="D40" s="20">
        <f>IF(AND($C40="x",$A40&lt;&gt;""),$A40,"")</f>
        <v/>
      </c>
    </row>
    <row r="41">
      <c r="A41" s="21" t="n"/>
      <c r="C41" s="21" t="n"/>
      <c r="D41" s="20">
        <f>IF(AND($C41="x",$A41&lt;&gt;""),$A41,"")</f>
        <v/>
      </c>
    </row>
    <row r="42">
      <c r="A42" s="21" t="n"/>
      <c r="C42" s="21" t="n"/>
      <c r="D42" s="20">
        <f>IF(AND($C42="x",$A42&lt;&gt;""),$A42,"")</f>
        <v/>
      </c>
    </row>
    <row r="43">
      <c r="A43" s="21" t="n"/>
      <c r="C43" s="21" t="n"/>
      <c r="D43" s="20">
        <f>IF(AND($C43="x",$A43&lt;&gt;""),$A43,"")</f>
        <v/>
      </c>
    </row>
    <row r="44">
      <c r="A44" s="21" t="n"/>
      <c r="C44" s="21" t="n"/>
      <c r="D44" s="20">
        <f>IF(AND($C44="x",$A44&lt;&gt;""),$A44,"")</f>
        <v/>
      </c>
    </row>
    <row r="45">
      <c r="A45" s="21" t="n"/>
      <c r="C45" s="21" t="n"/>
      <c r="D45" s="20">
        <f>IF(AND($C45="x",$A45&lt;&gt;""),$A45,"")</f>
        <v/>
      </c>
    </row>
    <row r="46">
      <c r="A46" s="21" t="n"/>
      <c r="C46" s="21" t="n"/>
      <c r="D46" s="20">
        <f>IF(AND($C46="x",$A46&lt;&gt;""),$A46,"")</f>
        <v/>
      </c>
    </row>
    <row r="47">
      <c r="A47" s="21" t="n"/>
      <c r="C47" s="21" t="n"/>
      <c r="D47" s="20">
        <f>IF(AND($C47="x",$A47&lt;&gt;""),$A47,"")</f>
        <v/>
      </c>
    </row>
    <row r="48">
      <c r="A48" s="21" t="n"/>
      <c r="C48" s="21" t="n"/>
      <c r="D48" s="20">
        <f>IF(AND($C48="x",$A48&lt;&gt;""),$A48,"")</f>
        <v/>
      </c>
    </row>
    <row r="49">
      <c r="A49" s="21" t="n"/>
      <c r="C49" s="21" t="n"/>
      <c r="D49" s="20">
        <f>IF(AND($C49="x",$A49&lt;&gt;""),$A49,"")</f>
        <v/>
      </c>
    </row>
    <row r="50">
      <c r="A50" s="21" t="n"/>
      <c r="C50" s="21" t="n"/>
      <c r="D50" s="20">
        <f>IF(AND($C50="x",$A50&lt;&gt;""),$A50,"")</f>
        <v/>
      </c>
    </row>
    <row r="51">
      <c r="A51" s="21" t="n"/>
      <c r="C51" s="21" t="n"/>
      <c r="D51" s="20">
        <f>IF(AND($C51="x",$A51&lt;&gt;""),$A51,"")</f>
        <v/>
      </c>
    </row>
    <row r="52">
      <c r="A52" s="21" t="n"/>
      <c r="C52" s="21" t="n"/>
      <c r="D52" s="20">
        <f>IF(AND($C52="x",$A52&lt;&gt;""),$A52,"")</f>
        <v/>
      </c>
    </row>
    <row r="53">
      <c r="A53" s="21" t="n"/>
      <c r="C53" s="21" t="n"/>
      <c r="D53" s="20">
        <f>IF(AND($C53="x",$A53&lt;&gt;""),$A53,"")</f>
        <v/>
      </c>
    </row>
    <row r="54">
      <c r="A54" s="21" t="n"/>
      <c r="C54" s="21" t="n"/>
      <c r="D54" s="20">
        <f>IF(AND($C54="x",$A54&lt;&gt;""),$A54,"")</f>
        <v/>
      </c>
    </row>
    <row r="55">
      <c r="A55" s="21" t="n"/>
      <c r="C55" s="21" t="n"/>
      <c r="D55" s="20">
        <f>IF(AND($C55="x",$A55&lt;&gt;""),$A55,"")</f>
        <v/>
      </c>
    </row>
    <row r="56">
      <c r="A56" s="21" t="n"/>
      <c r="C56" s="21" t="n"/>
      <c r="D56" s="20">
        <f>IF(AND($C56="x",$A56&lt;&gt;""),$A56,"")</f>
        <v/>
      </c>
    </row>
    <row r="57">
      <c r="A57" s="21" t="n"/>
      <c r="C57" s="21" t="n"/>
      <c r="D57" s="20">
        <f>IF(AND($C57="x",$A57&lt;&gt;""),$A57,"")</f>
        <v/>
      </c>
    </row>
    <row r="58">
      <c r="A58" s="21" t="n"/>
      <c r="C58" s="21" t="n"/>
      <c r="D58" s="20">
        <f>IF(AND($C58="x",$A58&lt;&gt;""),$A58,"")</f>
        <v/>
      </c>
    </row>
    <row r="59">
      <c r="A59" s="21" t="n"/>
      <c r="C59" s="21" t="n"/>
      <c r="D59" s="20">
        <f>IF(AND($C59="x",$A59&lt;&gt;""),$A59,"")</f>
        <v/>
      </c>
    </row>
    <row r="60">
      <c r="A60" s="21" t="n"/>
      <c r="C60" s="21" t="n"/>
      <c r="D60" s="20">
        <f>IF(AND($C60="x",$A60&lt;&gt;""),$A60,"")</f>
        <v/>
      </c>
    </row>
    <row r="61">
      <c r="A61" s="21" t="n"/>
      <c r="C61" s="21" t="n"/>
      <c r="D61" s="20">
        <f>IF(AND($C61="x",$A61&lt;&gt;""),$A61,"")</f>
        <v/>
      </c>
    </row>
    <row r="62">
      <c r="A62" s="21" t="n"/>
      <c r="C62" s="21" t="n"/>
      <c r="D62" s="20">
        <f>IF(AND($C62="x",$A62&lt;&gt;""),$A62,"")</f>
        <v/>
      </c>
    </row>
    <row r="63">
      <c r="A63" s="21" t="n"/>
      <c r="C63" s="21" t="n"/>
      <c r="D63" s="20">
        <f>IF(AND($C63="x",$A63&lt;&gt;""),$A63,"")</f>
        <v/>
      </c>
    </row>
    <row r="64">
      <c r="A64" s="21" t="n"/>
      <c r="C64" s="21" t="n"/>
      <c r="D64" s="20">
        <f>IF(AND($C64="x",$A64&lt;&gt;""),$A64,"")</f>
        <v/>
      </c>
    </row>
    <row r="65">
      <c r="A65" s="21" t="n"/>
      <c r="C65" s="21" t="n"/>
      <c r="D65" s="20">
        <f>IF(AND($C65="x",$A65&lt;&gt;""),$A65,"")</f>
        <v/>
      </c>
    </row>
    <row r="66">
      <c r="A66" s="21" t="n"/>
      <c r="C66" s="21" t="n"/>
      <c r="D66" s="20">
        <f>IF(AND($C66="x",$A66&lt;&gt;""),$A66,"")</f>
        <v/>
      </c>
    </row>
    <row r="67">
      <c r="A67" s="21" t="n"/>
      <c r="C67" s="21" t="n"/>
      <c r="D67" s="20">
        <f>IF(AND($C67="x",$A67&lt;&gt;""),$A67,"")</f>
        <v/>
      </c>
    </row>
    <row r="68">
      <c r="A68" s="21" t="n"/>
      <c r="C68" s="21" t="n"/>
      <c r="D68" s="20">
        <f>IF(AND($C68="x",$A68&lt;&gt;""),$A68,"")</f>
        <v/>
      </c>
    </row>
    <row r="69">
      <c r="A69" s="21" t="n"/>
      <c r="C69" s="21" t="n"/>
      <c r="D69" s="20">
        <f>IF(AND($C69="x",$A69&lt;&gt;""),$A69,"")</f>
        <v/>
      </c>
    </row>
    <row r="70">
      <c r="A70" s="21" t="n"/>
      <c r="C70" s="21" t="n"/>
      <c r="D70" s="20">
        <f>IF(AND($C70="x",$A70&lt;&gt;""),$A70,"")</f>
        <v/>
      </c>
    </row>
    <row r="71">
      <c r="A71" s="21" t="n"/>
      <c r="C71" s="21" t="n"/>
      <c r="D71" s="20">
        <f>IF(AND($C71="x",$A71&lt;&gt;""),$A71,"")</f>
        <v/>
      </c>
    </row>
    <row r="72">
      <c r="A72" s="21" t="n"/>
      <c r="C72" s="21" t="n"/>
      <c r="D72" s="20">
        <f>IF(AND($C72="x",$A72&lt;&gt;""),$A72,"")</f>
        <v/>
      </c>
    </row>
    <row r="73">
      <c r="A73" s="21" t="n"/>
      <c r="C73" s="21" t="n"/>
      <c r="D73" s="20">
        <f>IF(AND($C73="x",$A73&lt;&gt;""),$A73,"")</f>
        <v/>
      </c>
    </row>
    <row r="74">
      <c r="A74" s="21" t="n"/>
      <c r="C74" s="21" t="n"/>
      <c r="D74" s="20">
        <f>IF(AND($C74="x",$A74&lt;&gt;""),$A74,"")</f>
        <v/>
      </c>
    </row>
    <row r="75">
      <c r="A75" s="21" t="n"/>
      <c r="C75" s="21" t="n"/>
      <c r="D75" s="20">
        <f>IF(AND($C75="x",$A75&lt;&gt;""),$A75,"")</f>
        <v/>
      </c>
    </row>
    <row r="76">
      <c r="A76" s="21" t="n"/>
      <c r="C76" s="21" t="n"/>
      <c r="D76" s="20">
        <f>IF(AND($C76="x",$A76&lt;&gt;""),$A76,"")</f>
        <v/>
      </c>
    </row>
    <row r="77">
      <c r="A77" s="21" t="n"/>
      <c r="C77" s="21" t="n"/>
      <c r="D77" s="20">
        <f>IF(AND($C77="x",$A77&lt;&gt;""),$A77,"")</f>
        <v/>
      </c>
    </row>
    <row r="78">
      <c r="A78" s="21" t="n"/>
      <c r="C78" s="21" t="n"/>
      <c r="D78" s="20">
        <f>IF(AND($C78="x",$A78&lt;&gt;""),$A78,"")</f>
        <v/>
      </c>
    </row>
    <row r="79">
      <c r="A79" s="21" t="n"/>
      <c r="C79" s="21" t="n"/>
      <c r="D79" s="20">
        <f>IF(AND($C79="x",$A79&lt;&gt;""),$A79,"")</f>
        <v/>
      </c>
    </row>
    <row r="80">
      <c r="A80" s="21" t="n"/>
      <c r="C80" s="21" t="n"/>
      <c r="D80" s="20">
        <f>IF(AND($C80="x",$A80&lt;&gt;""),$A80,"")</f>
        <v/>
      </c>
    </row>
  </sheetData>
  <mergeCells count="2">
    <mergeCell ref="A20:C20"/>
    <mergeCell ref="B8:D8"/>
  </mergeCells>
  <dataValidations count="1">
    <dataValidation sqref="C12 C13 C14 C15 C16 C17 C18 C19 C20 C21 C22 C23 C24 C25 C26 C27 C28 C29 C30 C31 C32 C33 C34 C35 C36 C37 C38 C39 C40 C41 C42 C43 C44 C45 C46 C47 C48 C49 C50 C51 C52 C53 C54 C55 C56 C57 C58 C59 C60 C61 C62 C63 C64 C65 C66 C67 C68 C69 C70 C71 C72 C73 C74 C75 C76 C77 C78 C79 C80" showDropDown="0" showInputMessage="0" showErrorMessage="1" allowBlank="1" errorTitle="Alleen x" error="Zet een x om het veld op te nemen, of laat de cel leeg." type="list">
      <formula1>"x"</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80"/>
  <sheetViews>
    <sheetView workbookViewId="0">
      <pane ySplit="11" topLeftCell="A12" activePane="bottomLeft" state="frozen"/>
      <selection pane="bottomLeft" activeCell="A1" sqref="A1"/>
    </sheetView>
  </sheetViews>
  <sheetFormatPr baseColWidth="8" defaultRowHeight="15"/>
  <cols>
    <col width="44" customWidth="1" min="1" max="1"/>
    <col width="62" customWidth="1" min="2" max="2"/>
    <col width="13" customWidth="1" min="3" max="3"/>
    <col hidden="1" width="10" customWidth="1" min="4" max="4"/>
  </cols>
  <sheetData>
    <row r="1">
      <c r="A1" s="13" t="inlineStr">
        <is>
          <t>Windsor-export: Google Ads zoektermen</t>
        </is>
      </c>
      <c r="C1" s="14" t="inlineStr">
        <is>
          <t>Status: Aanbevolen · Ads → Google Ads zoektermen (30 d)</t>
        </is>
      </c>
    </row>
    <row r="2">
      <c r="A2" s="3" t="inlineStr">
        <is>
          <t>Connector</t>
        </is>
      </c>
      <c r="B2" s="6" t="inlineStr">
        <is>
          <t>google_ads</t>
        </is>
      </c>
    </row>
    <row r="3">
      <c r="A3" s="3" t="inlineStr">
        <is>
          <t>Account-id (uit Instellingen)</t>
        </is>
      </c>
      <c r="B3" s="15">
        <f>Instellingen!$B$14</f>
        <v/>
      </c>
    </row>
    <row r="4">
      <c r="A4" s="3" t="inlineStr">
        <is>
          <t>Taaknaam (Task name)</t>
        </is>
      </c>
      <c r="B4" s="15">
        <f>"Windsor - Sheets - Google Ads zoektermen - "&amp;Instellingen!$B$3</f>
        <v/>
      </c>
    </row>
    <row r="5">
      <c r="A5" s="3" t="inlineStr">
        <is>
          <t>Tabnaam (Sheet Name)</t>
        </is>
      </c>
      <c r="B5" s="15">
        <f>"Google Ads - zoektermen - "&amp;Instellingen!$B$3&amp;" - windsor.ai"</f>
        <v/>
      </c>
      <c r="C5" s="12" t="inlineStr">
        <is>
          <t>Herkenning in api/_sheetdata.js gaat op bron + niveau in deze naam; hou het voorstel aan.</t>
        </is>
      </c>
    </row>
    <row r="6">
      <c r="A6" s="3" t="inlineStr">
        <is>
          <t>Columns to Match (rows to replace)</t>
        </is>
      </c>
      <c r="B6" s="6" t="inlineStr">
        <is>
          <t>date</t>
        </is>
      </c>
      <c r="C6" s="12" t="inlineStr">
        <is>
          <t>Voorstel; zoals bij de bestaande exports.</t>
        </is>
      </c>
    </row>
    <row r="7">
      <c r="A7" s="3" t="inlineStr">
        <is>
          <t>Schedule</t>
        </is>
      </c>
      <c r="B7" s="6" t="inlineStr">
        <is>
          <t>Daily · 00:00 UTC · Target Cell A1 · Authentication: Google Account</t>
        </is>
      </c>
    </row>
    <row r="8" ht="90" customHeight="1">
      <c r="A8" s="3" t="inlineStr">
        <is>
          <t>Query (gegenereerd — api_key blijft leeg)</t>
        </is>
      </c>
      <c r="B8" s="16">
        <f>"https://connectors.windsor.ai/"&amp;$B$2&amp;"?api_key="&amp;IF(Instellingen!$B$4&lt;&gt;"","&amp;date_preset="&amp;Instellingen!$B$4,"")&amp;"&amp;fields="&amp;_xlfn.TEXTJOIN(",",TRUE,$D$12:$D$80)&amp;IF($B$3&lt;&gt;"","&amp;select_accounts="&amp;$B$3,"")&amp;IF(Instellingen!$B$5&lt;&gt;"","&amp;_field_headers="&amp;Instellingen!$B$5,"")</f>
        <v/>
      </c>
    </row>
    <row r="9">
      <c r="A9" s="3" t="inlineStr">
        <is>
          <t>Aantal velden in de query</t>
        </is>
      </c>
      <c r="B9" s="17">
        <f>COUNTIF($C$12:$C$80,"x")</f>
        <v/>
      </c>
    </row>
    <row r="11">
      <c r="A11" s="8" t="inlineStr">
        <is>
          <t>Veld (Windsor-id)</t>
        </is>
      </c>
      <c r="B11" s="8" t="inlineStr">
        <is>
          <t>Gebruik in het dashboard</t>
        </is>
      </c>
      <c r="C11" s="8" t="inlineStr">
        <is>
          <t>Opnemen (x)</t>
        </is>
      </c>
      <c r="D11" s="8" t="inlineStr">
        <is>
          <t>→ query</t>
        </is>
      </c>
    </row>
    <row r="12">
      <c r="A12" s="9" t="inlineStr">
        <is>
          <t>date</t>
        </is>
      </c>
      <c r="B12" s="18" t="inlineStr">
        <is>
          <t>Datumkolom: 'Columns to Match' en periodefilter</t>
        </is>
      </c>
      <c r="C12" s="19" t="inlineStr">
        <is>
          <t>x</t>
        </is>
      </c>
      <c r="D12" s="20">
        <f>IF(AND($C12="x",$A12&lt;&gt;""),$A12,"")</f>
        <v/>
      </c>
    </row>
    <row r="13">
      <c r="A13" s="9" t="inlineStr">
        <is>
          <t>account_id</t>
        </is>
      </c>
      <c r="B13" s="18" t="inlineStr">
        <is>
          <t>Accountcontrole: alleen rijen van dit account tellen mee</t>
        </is>
      </c>
      <c r="C13" s="19" t="inlineStr">
        <is>
          <t>x</t>
        </is>
      </c>
      <c r="D13" s="20">
        <f>IF(AND($C13="x",$A13&lt;&gt;""),$A13,"")</f>
        <v/>
      </c>
    </row>
    <row r="14">
      <c r="A14" s="9" t="inlineStr">
        <is>
          <t>account_name</t>
        </is>
      </c>
      <c r="B14" s="18" t="inlineStr">
        <is>
          <t>Idem, leesbaar</t>
        </is>
      </c>
      <c r="C14" s="19" t="inlineStr">
        <is>
          <t>x</t>
        </is>
      </c>
      <c r="D14" s="20">
        <f>IF(AND($C14="x",$A14&lt;&gt;""),$A14,"")</f>
        <v/>
      </c>
    </row>
    <row r="15">
      <c r="A15" s="9" t="inlineStr">
        <is>
          <t>campaign</t>
        </is>
      </c>
      <c r="B15" s="18" t="inlineStr">
        <is>
          <t>Campagnenaam</t>
        </is>
      </c>
      <c r="C15" s="19" t="inlineStr">
        <is>
          <t>x</t>
        </is>
      </c>
      <c r="D15" s="20">
        <f>IF(AND($C15="x",$A15&lt;&gt;""),$A15,"")</f>
        <v/>
      </c>
    </row>
    <row r="16">
      <c r="A16" s="9" t="inlineStr">
        <is>
          <t>ad_group_name</t>
        </is>
      </c>
      <c r="B16" s="18" t="inlineStr">
        <is>
          <t>Advertentiegroep</t>
        </is>
      </c>
      <c r="C16" s="19" t="inlineStr">
        <is>
          <t>x</t>
        </is>
      </c>
      <c r="D16" s="20">
        <f>IF(AND($C16="x",$A16&lt;&gt;""),$A16,"")</f>
        <v/>
      </c>
    </row>
    <row r="17">
      <c r="A17" s="9" t="inlineStr">
        <is>
          <t>search_term</t>
        </is>
      </c>
      <c r="B17" s="18" t="inlineStr">
        <is>
          <t>Zoekterm</t>
        </is>
      </c>
      <c r="C17" s="19" t="inlineStr">
        <is>
          <t>x</t>
        </is>
      </c>
      <c r="D17" s="20">
        <f>IF(AND($C17="x",$A17&lt;&gt;""),$A17,"")</f>
        <v/>
      </c>
    </row>
    <row r="18">
      <c r="A18" s="9" t="inlineStr">
        <is>
          <t>impressions</t>
        </is>
      </c>
      <c r="B18" s="18" t="inlineStr">
        <is>
          <t>Vertoningen</t>
        </is>
      </c>
      <c r="C18" s="19" t="inlineStr">
        <is>
          <t>x</t>
        </is>
      </c>
      <c r="D18" s="20">
        <f>IF(AND($C18="x",$A18&lt;&gt;""),$A18,"")</f>
        <v/>
      </c>
    </row>
    <row r="19">
      <c r="A19" s="9" t="inlineStr">
        <is>
          <t>clicks</t>
        </is>
      </c>
      <c r="B19" s="18" t="inlineStr">
        <is>
          <t>Kliks</t>
        </is>
      </c>
      <c r="C19" s="19" t="inlineStr">
        <is>
          <t>x</t>
        </is>
      </c>
      <c r="D19" s="20">
        <f>IF(AND($C19="x",$A19&lt;&gt;""),$A19,"")</f>
        <v/>
      </c>
    </row>
    <row r="20">
      <c r="A20" s="9" t="inlineStr">
        <is>
          <t>totalcost</t>
        </is>
      </c>
      <c r="B20" s="18" t="inlineStr">
        <is>
          <t>Kosten</t>
        </is>
      </c>
      <c r="C20" s="19" t="inlineStr">
        <is>
          <t>x</t>
        </is>
      </c>
      <c r="D20" s="20">
        <f>IF(AND($C20="x",$A20&lt;&gt;""),$A20,"")</f>
        <v/>
      </c>
    </row>
    <row r="21">
      <c r="A21" s="9" t="inlineStr">
        <is>
          <t>conversions</t>
        </is>
      </c>
      <c r="B21" s="18" t="inlineStr">
        <is>
          <t>Conversies</t>
        </is>
      </c>
      <c r="C21" s="19" t="inlineStr">
        <is>
          <t>x</t>
        </is>
      </c>
      <c r="D21" s="20">
        <f>IF(AND($C21="x",$A21&lt;&gt;""),$A21,"")</f>
        <v/>
      </c>
    </row>
    <row r="22">
      <c r="A22" s="14" t="inlineStr">
        <is>
          <t>Eigen veld toevoegen: zet hieronder het Windsor-veld-id in kolom A en een x in kolom C (tot rij 80).</t>
        </is>
      </c>
    </row>
    <row r="23">
      <c r="A23" s="21" t="n"/>
      <c r="C23" s="21" t="n"/>
      <c r="D23" s="20">
        <f>IF(AND($C23="x",$A23&lt;&gt;""),$A23,"")</f>
        <v/>
      </c>
    </row>
    <row r="24">
      <c r="A24" s="21" t="n"/>
      <c r="C24" s="21" t="n"/>
      <c r="D24" s="20">
        <f>IF(AND($C24="x",$A24&lt;&gt;""),$A24,"")</f>
        <v/>
      </c>
    </row>
    <row r="25">
      <c r="A25" s="21" t="n"/>
      <c r="C25" s="21" t="n"/>
      <c r="D25" s="20">
        <f>IF(AND($C25="x",$A25&lt;&gt;""),$A25,"")</f>
        <v/>
      </c>
    </row>
    <row r="26">
      <c r="A26" s="21" t="n"/>
      <c r="C26" s="21" t="n"/>
      <c r="D26" s="20">
        <f>IF(AND($C26="x",$A26&lt;&gt;""),$A26,"")</f>
        <v/>
      </c>
    </row>
    <row r="27">
      <c r="A27" s="21" t="n"/>
      <c r="C27" s="21" t="n"/>
      <c r="D27" s="20">
        <f>IF(AND($C27="x",$A27&lt;&gt;""),$A27,"")</f>
        <v/>
      </c>
    </row>
    <row r="28">
      <c r="A28" s="21" t="n"/>
      <c r="C28" s="21" t="n"/>
      <c r="D28" s="20">
        <f>IF(AND($C28="x",$A28&lt;&gt;""),$A28,"")</f>
        <v/>
      </c>
    </row>
    <row r="29">
      <c r="A29" s="21" t="n"/>
      <c r="C29" s="21" t="n"/>
      <c r="D29" s="20">
        <f>IF(AND($C29="x",$A29&lt;&gt;""),$A29,"")</f>
        <v/>
      </c>
    </row>
    <row r="30">
      <c r="A30" s="21" t="n"/>
      <c r="C30" s="21" t="n"/>
      <c r="D30" s="20">
        <f>IF(AND($C30="x",$A30&lt;&gt;""),$A30,"")</f>
        <v/>
      </c>
    </row>
    <row r="31">
      <c r="A31" s="21" t="n"/>
      <c r="C31" s="21" t="n"/>
      <c r="D31" s="20">
        <f>IF(AND($C31="x",$A31&lt;&gt;""),$A31,"")</f>
        <v/>
      </c>
    </row>
    <row r="32">
      <c r="A32" s="21" t="n"/>
      <c r="C32" s="21" t="n"/>
      <c r="D32" s="20">
        <f>IF(AND($C32="x",$A32&lt;&gt;""),$A32,"")</f>
        <v/>
      </c>
    </row>
    <row r="33">
      <c r="A33" s="21" t="n"/>
      <c r="C33" s="21" t="n"/>
      <c r="D33" s="20">
        <f>IF(AND($C33="x",$A33&lt;&gt;""),$A33,"")</f>
        <v/>
      </c>
    </row>
    <row r="34">
      <c r="A34" s="21" t="n"/>
      <c r="C34" s="21" t="n"/>
      <c r="D34" s="20">
        <f>IF(AND($C34="x",$A34&lt;&gt;""),$A34,"")</f>
        <v/>
      </c>
    </row>
    <row r="35">
      <c r="A35" s="21" t="n"/>
      <c r="C35" s="21" t="n"/>
      <c r="D35" s="20">
        <f>IF(AND($C35="x",$A35&lt;&gt;""),$A35,"")</f>
        <v/>
      </c>
    </row>
    <row r="36">
      <c r="A36" s="21" t="n"/>
      <c r="C36" s="21" t="n"/>
      <c r="D36" s="20">
        <f>IF(AND($C36="x",$A36&lt;&gt;""),$A36,"")</f>
        <v/>
      </c>
    </row>
    <row r="37">
      <c r="A37" s="21" t="n"/>
      <c r="C37" s="21" t="n"/>
      <c r="D37" s="20">
        <f>IF(AND($C37="x",$A37&lt;&gt;""),$A37,"")</f>
        <v/>
      </c>
    </row>
    <row r="38">
      <c r="A38" s="21" t="n"/>
      <c r="C38" s="21" t="n"/>
      <c r="D38" s="20">
        <f>IF(AND($C38="x",$A38&lt;&gt;""),$A38,"")</f>
        <v/>
      </c>
    </row>
    <row r="39">
      <c r="A39" s="21" t="n"/>
      <c r="C39" s="21" t="n"/>
      <c r="D39" s="20">
        <f>IF(AND($C39="x",$A39&lt;&gt;""),$A39,"")</f>
        <v/>
      </c>
    </row>
    <row r="40">
      <c r="A40" s="21" t="n"/>
      <c r="C40" s="21" t="n"/>
      <c r="D40" s="20">
        <f>IF(AND($C40="x",$A40&lt;&gt;""),$A40,"")</f>
        <v/>
      </c>
    </row>
    <row r="41">
      <c r="A41" s="21" t="n"/>
      <c r="C41" s="21" t="n"/>
      <c r="D41" s="20">
        <f>IF(AND($C41="x",$A41&lt;&gt;""),$A41,"")</f>
        <v/>
      </c>
    </row>
    <row r="42">
      <c r="A42" s="21" t="n"/>
      <c r="C42" s="21" t="n"/>
      <c r="D42" s="20">
        <f>IF(AND($C42="x",$A42&lt;&gt;""),$A42,"")</f>
        <v/>
      </c>
    </row>
    <row r="43">
      <c r="A43" s="21" t="n"/>
      <c r="C43" s="21" t="n"/>
      <c r="D43" s="20">
        <f>IF(AND($C43="x",$A43&lt;&gt;""),$A43,"")</f>
        <v/>
      </c>
    </row>
    <row r="44">
      <c r="A44" s="21" t="n"/>
      <c r="C44" s="21" t="n"/>
      <c r="D44" s="20">
        <f>IF(AND($C44="x",$A44&lt;&gt;""),$A44,"")</f>
        <v/>
      </c>
    </row>
    <row r="45">
      <c r="A45" s="21" t="n"/>
      <c r="C45" s="21" t="n"/>
      <c r="D45" s="20">
        <f>IF(AND($C45="x",$A45&lt;&gt;""),$A45,"")</f>
        <v/>
      </c>
    </row>
    <row r="46">
      <c r="A46" s="21" t="n"/>
      <c r="C46" s="21" t="n"/>
      <c r="D46" s="20">
        <f>IF(AND($C46="x",$A46&lt;&gt;""),$A46,"")</f>
        <v/>
      </c>
    </row>
    <row r="47">
      <c r="A47" s="21" t="n"/>
      <c r="C47" s="21" t="n"/>
      <c r="D47" s="20">
        <f>IF(AND($C47="x",$A47&lt;&gt;""),$A47,"")</f>
        <v/>
      </c>
    </row>
    <row r="48">
      <c r="A48" s="21" t="n"/>
      <c r="C48" s="21" t="n"/>
      <c r="D48" s="20">
        <f>IF(AND($C48="x",$A48&lt;&gt;""),$A48,"")</f>
        <v/>
      </c>
    </row>
    <row r="49">
      <c r="A49" s="21" t="n"/>
      <c r="C49" s="21" t="n"/>
      <c r="D49" s="20">
        <f>IF(AND($C49="x",$A49&lt;&gt;""),$A49,"")</f>
        <v/>
      </c>
    </row>
    <row r="50">
      <c r="A50" s="21" t="n"/>
      <c r="C50" s="21" t="n"/>
      <c r="D50" s="20">
        <f>IF(AND($C50="x",$A50&lt;&gt;""),$A50,"")</f>
        <v/>
      </c>
    </row>
    <row r="51">
      <c r="A51" s="21" t="n"/>
      <c r="C51" s="21" t="n"/>
      <c r="D51" s="20">
        <f>IF(AND($C51="x",$A51&lt;&gt;""),$A51,"")</f>
        <v/>
      </c>
    </row>
    <row r="52">
      <c r="A52" s="21" t="n"/>
      <c r="C52" s="21" t="n"/>
      <c r="D52" s="20">
        <f>IF(AND($C52="x",$A52&lt;&gt;""),$A52,"")</f>
        <v/>
      </c>
    </row>
    <row r="53">
      <c r="A53" s="21" t="n"/>
      <c r="C53" s="21" t="n"/>
      <c r="D53" s="20">
        <f>IF(AND($C53="x",$A53&lt;&gt;""),$A53,"")</f>
        <v/>
      </c>
    </row>
    <row r="54">
      <c r="A54" s="21" t="n"/>
      <c r="C54" s="21" t="n"/>
      <c r="D54" s="20">
        <f>IF(AND($C54="x",$A54&lt;&gt;""),$A54,"")</f>
        <v/>
      </c>
    </row>
    <row r="55">
      <c r="A55" s="21" t="n"/>
      <c r="C55" s="21" t="n"/>
      <c r="D55" s="20">
        <f>IF(AND($C55="x",$A55&lt;&gt;""),$A55,"")</f>
        <v/>
      </c>
    </row>
    <row r="56">
      <c r="A56" s="21" t="n"/>
      <c r="C56" s="21" t="n"/>
      <c r="D56" s="20">
        <f>IF(AND($C56="x",$A56&lt;&gt;""),$A56,"")</f>
        <v/>
      </c>
    </row>
    <row r="57">
      <c r="A57" s="21" t="n"/>
      <c r="C57" s="21" t="n"/>
      <c r="D57" s="20">
        <f>IF(AND($C57="x",$A57&lt;&gt;""),$A57,"")</f>
        <v/>
      </c>
    </row>
    <row r="58">
      <c r="A58" s="21" t="n"/>
      <c r="C58" s="21" t="n"/>
      <c r="D58" s="20">
        <f>IF(AND($C58="x",$A58&lt;&gt;""),$A58,"")</f>
        <v/>
      </c>
    </row>
    <row r="59">
      <c r="A59" s="21" t="n"/>
      <c r="C59" s="21" t="n"/>
      <c r="D59" s="20">
        <f>IF(AND($C59="x",$A59&lt;&gt;""),$A59,"")</f>
        <v/>
      </c>
    </row>
    <row r="60">
      <c r="A60" s="21" t="n"/>
      <c r="C60" s="21" t="n"/>
      <c r="D60" s="20">
        <f>IF(AND($C60="x",$A60&lt;&gt;""),$A60,"")</f>
        <v/>
      </c>
    </row>
    <row r="61">
      <c r="A61" s="21" t="n"/>
      <c r="C61" s="21" t="n"/>
      <c r="D61" s="20">
        <f>IF(AND($C61="x",$A61&lt;&gt;""),$A61,"")</f>
        <v/>
      </c>
    </row>
    <row r="62">
      <c r="A62" s="21" t="n"/>
      <c r="C62" s="21" t="n"/>
      <c r="D62" s="20">
        <f>IF(AND($C62="x",$A62&lt;&gt;""),$A62,"")</f>
        <v/>
      </c>
    </row>
    <row r="63">
      <c r="A63" s="21" t="n"/>
      <c r="C63" s="21" t="n"/>
      <c r="D63" s="20">
        <f>IF(AND($C63="x",$A63&lt;&gt;""),$A63,"")</f>
        <v/>
      </c>
    </row>
    <row r="64">
      <c r="A64" s="21" t="n"/>
      <c r="C64" s="21" t="n"/>
      <c r="D64" s="20">
        <f>IF(AND($C64="x",$A64&lt;&gt;""),$A64,"")</f>
        <v/>
      </c>
    </row>
    <row r="65">
      <c r="A65" s="21" t="n"/>
      <c r="C65" s="21" t="n"/>
      <c r="D65" s="20">
        <f>IF(AND($C65="x",$A65&lt;&gt;""),$A65,"")</f>
        <v/>
      </c>
    </row>
    <row r="66">
      <c r="A66" s="21" t="n"/>
      <c r="C66" s="21" t="n"/>
      <c r="D66" s="20">
        <f>IF(AND($C66="x",$A66&lt;&gt;""),$A66,"")</f>
        <v/>
      </c>
    </row>
    <row r="67">
      <c r="A67" s="21" t="n"/>
      <c r="C67" s="21" t="n"/>
      <c r="D67" s="20">
        <f>IF(AND($C67="x",$A67&lt;&gt;""),$A67,"")</f>
        <v/>
      </c>
    </row>
    <row r="68">
      <c r="A68" s="21" t="n"/>
      <c r="C68" s="21" t="n"/>
      <c r="D68" s="20">
        <f>IF(AND($C68="x",$A68&lt;&gt;""),$A68,"")</f>
        <v/>
      </c>
    </row>
    <row r="69">
      <c r="A69" s="21" t="n"/>
      <c r="C69" s="21" t="n"/>
      <c r="D69" s="20">
        <f>IF(AND($C69="x",$A69&lt;&gt;""),$A69,"")</f>
        <v/>
      </c>
    </row>
    <row r="70">
      <c r="A70" s="21" t="n"/>
      <c r="C70" s="21" t="n"/>
      <c r="D70" s="20">
        <f>IF(AND($C70="x",$A70&lt;&gt;""),$A70,"")</f>
        <v/>
      </c>
    </row>
    <row r="71">
      <c r="A71" s="21" t="n"/>
      <c r="C71" s="21" t="n"/>
      <c r="D71" s="20">
        <f>IF(AND($C71="x",$A71&lt;&gt;""),$A71,"")</f>
        <v/>
      </c>
    </row>
    <row r="72">
      <c r="A72" s="21" t="n"/>
      <c r="C72" s="21" t="n"/>
      <c r="D72" s="20">
        <f>IF(AND($C72="x",$A72&lt;&gt;""),$A72,"")</f>
        <v/>
      </c>
    </row>
    <row r="73">
      <c r="A73" s="21" t="n"/>
      <c r="C73" s="21" t="n"/>
      <c r="D73" s="20">
        <f>IF(AND($C73="x",$A73&lt;&gt;""),$A73,"")</f>
        <v/>
      </c>
    </row>
    <row r="74">
      <c r="A74" s="21" t="n"/>
      <c r="C74" s="21" t="n"/>
      <c r="D74" s="20">
        <f>IF(AND($C74="x",$A74&lt;&gt;""),$A74,"")</f>
        <v/>
      </c>
    </row>
    <row r="75">
      <c r="A75" s="21" t="n"/>
      <c r="C75" s="21" t="n"/>
      <c r="D75" s="20">
        <f>IF(AND($C75="x",$A75&lt;&gt;""),$A75,"")</f>
        <v/>
      </c>
    </row>
    <row r="76">
      <c r="A76" s="21" t="n"/>
      <c r="C76" s="21" t="n"/>
      <c r="D76" s="20">
        <f>IF(AND($C76="x",$A76&lt;&gt;""),$A76,"")</f>
        <v/>
      </c>
    </row>
    <row r="77">
      <c r="A77" s="21" t="n"/>
      <c r="C77" s="21" t="n"/>
      <c r="D77" s="20">
        <f>IF(AND($C77="x",$A77&lt;&gt;""),$A77,"")</f>
        <v/>
      </c>
    </row>
    <row r="78">
      <c r="A78" s="21" t="n"/>
      <c r="C78" s="21" t="n"/>
      <c r="D78" s="20">
        <f>IF(AND($C78="x",$A78&lt;&gt;""),$A78,"")</f>
        <v/>
      </c>
    </row>
    <row r="79">
      <c r="A79" s="21" t="n"/>
      <c r="C79" s="21" t="n"/>
      <c r="D79" s="20">
        <f>IF(AND($C79="x",$A79&lt;&gt;""),$A79,"")</f>
        <v/>
      </c>
    </row>
    <row r="80">
      <c r="A80" s="21" t="n"/>
      <c r="C80" s="21" t="n"/>
      <c r="D80" s="20">
        <f>IF(AND($C80="x",$A80&lt;&gt;""),$A80,"")</f>
        <v/>
      </c>
    </row>
  </sheetData>
  <mergeCells count="2">
    <mergeCell ref="B8:D8"/>
    <mergeCell ref="A22:C22"/>
  </mergeCells>
  <dataValidations count="1">
    <dataValidation sqref="C12 C13 C14 C15 C16 C17 C18 C19 C20 C21 C22 C23 C24 C25 C26 C27 C28 C29 C30 C31 C32 C33 C34 C35 C36 C37 C38 C39 C40 C41 C42 C43 C44 C45 C46 C47 C48 C49 C50 C51 C52 C53 C54 C55 C56 C57 C58 C59 C60 C61 C62 C63 C64 C65 C66 C67 C68 C69 C70 C71 C72 C73 C74 C75 C76 C77 C78 C79 C80" showDropDown="0" showInputMessage="0" showErrorMessage="1" allowBlank="1" errorTitle="Alleen x" error="Zet een x om het veld op te nemen, of laat de cel leeg." type="list">
      <formula1>"x"</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80"/>
  <sheetViews>
    <sheetView workbookViewId="0">
      <pane ySplit="11" topLeftCell="A12" activePane="bottomLeft" state="frozen"/>
      <selection pane="bottomLeft" activeCell="A1" sqref="A1"/>
    </sheetView>
  </sheetViews>
  <sheetFormatPr baseColWidth="8" defaultRowHeight="15"/>
  <cols>
    <col width="44" customWidth="1" min="1" max="1"/>
    <col width="62" customWidth="1" min="2" max="2"/>
    <col width="13" customWidth="1" min="3" max="3"/>
    <col hidden="1" width="10" customWidth="1" min="4" max="4"/>
  </cols>
  <sheetData>
    <row r="1">
      <c r="A1" s="13" t="inlineStr">
        <is>
          <t>Windsor-export: Google Ads apparaat</t>
        </is>
      </c>
      <c r="C1" s="14" t="inlineStr">
        <is>
          <t>Status: Aanbevolen · Ads → Google Ads apparaten</t>
        </is>
      </c>
    </row>
    <row r="2">
      <c r="A2" s="3" t="inlineStr">
        <is>
          <t>Connector</t>
        </is>
      </c>
      <c r="B2" s="6" t="inlineStr">
        <is>
          <t>google_ads</t>
        </is>
      </c>
    </row>
    <row r="3">
      <c r="A3" s="3" t="inlineStr">
        <is>
          <t>Account-id (uit Instellingen)</t>
        </is>
      </c>
      <c r="B3" s="15">
        <f>Instellingen!$B$14</f>
        <v/>
      </c>
    </row>
    <row r="4">
      <c r="A4" s="3" t="inlineStr">
        <is>
          <t>Taaknaam (Task name)</t>
        </is>
      </c>
      <c r="B4" s="15">
        <f>"Windsor - Sheets - Google Ads apparaat - "&amp;Instellingen!$B$3</f>
        <v/>
      </c>
    </row>
    <row r="5">
      <c r="A5" s="3" t="inlineStr">
        <is>
          <t>Tabnaam (Sheet Name)</t>
        </is>
      </c>
      <c r="B5" s="15">
        <f>"Google Ads - apparaat - "&amp;Instellingen!$B$3&amp;" - windsor.ai"</f>
        <v/>
      </c>
      <c r="C5" s="12" t="inlineStr">
        <is>
          <t>Herkenning in api/_sheetdata.js gaat op bron + niveau in deze naam; hou het voorstel aan.</t>
        </is>
      </c>
    </row>
    <row r="6">
      <c r="A6" s="3" t="inlineStr">
        <is>
          <t>Columns to Match (rows to replace)</t>
        </is>
      </c>
      <c r="B6" s="6" t="inlineStr">
        <is>
          <t>date</t>
        </is>
      </c>
      <c r="C6" s="12" t="inlineStr">
        <is>
          <t>Voorstel; zoals bij de bestaande exports.</t>
        </is>
      </c>
    </row>
    <row r="7">
      <c r="A7" s="3" t="inlineStr">
        <is>
          <t>Schedule</t>
        </is>
      </c>
      <c r="B7" s="6" t="inlineStr">
        <is>
          <t>Daily · 00:00 UTC · Target Cell A1 · Authentication: Google Account</t>
        </is>
      </c>
    </row>
    <row r="8" ht="90" customHeight="1">
      <c r="A8" s="3" t="inlineStr">
        <is>
          <t>Query (gegenereerd — api_key blijft leeg)</t>
        </is>
      </c>
      <c r="B8" s="16">
        <f>"https://connectors.windsor.ai/"&amp;$B$2&amp;"?api_key="&amp;IF(Instellingen!$B$4&lt;&gt;"","&amp;date_preset="&amp;Instellingen!$B$4,"")&amp;"&amp;fields="&amp;_xlfn.TEXTJOIN(",",TRUE,$D$12:$D$80)&amp;IF($B$3&lt;&gt;"","&amp;select_accounts="&amp;$B$3,"")&amp;IF(Instellingen!$B$5&lt;&gt;"","&amp;_field_headers="&amp;Instellingen!$B$5,"")</f>
        <v/>
      </c>
    </row>
    <row r="9">
      <c r="A9" s="3" t="inlineStr">
        <is>
          <t>Aantal velden in de query</t>
        </is>
      </c>
      <c r="B9" s="17">
        <f>COUNTIF($C$12:$C$80,"x")</f>
        <v/>
      </c>
    </row>
    <row r="11">
      <c r="A11" s="8" t="inlineStr">
        <is>
          <t>Veld (Windsor-id)</t>
        </is>
      </c>
      <c r="B11" s="8" t="inlineStr">
        <is>
          <t>Gebruik in het dashboard</t>
        </is>
      </c>
      <c r="C11" s="8" t="inlineStr">
        <is>
          <t>Opnemen (x)</t>
        </is>
      </c>
      <c r="D11" s="8" t="inlineStr">
        <is>
          <t>→ query</t>
        </is>
      </c>
    </row>
    <row r="12">
      <c r="A12" s="9" t="inlineStr">
        <is>
          <t>date</t>
        </is>
      </c>
      <c r="B12" s="18" t="inlineStr">
        <is>
          <t>Datumkolom: 'Columns to Match' en periodefilter</t>
        </is>
      </c>
      <c r="C12" s="19" t="inlineStr">
        <is>
          <t>x</t>
        </is>
      </c>
      <c r="D12" s="20">
        <f>IF(AND($C12="x",$A12&lt;&gt;""),$A12,"")</f>
        <v/>
      </c>
    </row>
    <row r="13">
      <c r="A13" s="9" t="inlineStr">
        <is>
          <t>account_id</t>
        </is>
      </c>
      <c r="B13" s="18" t="inlineStr">
        <is>
          <t>Accountcontrole: alleen rijen van dit account tellen mee</t>
        </is>
      </c>
      <c r="C13" s="19" t="inlineStr">
        <is>
          <t>x</t>
        </is>
      </c>
      <c r="D13" s="20">
        <f>IF(AND($C13="x",$A13&lt;&gt;""),$A13,"")</f>
        <v/>
      </c>
    </row>
    <row r="14">
      <c r="A14" s="9" t="inlineStr">
        <is>
          <t>account_name</t>
        </is>
      </c>
      <c r="B14" s="18" t="inlineStr">
        <is>
          <t>Idem, leesbaar</t>
        </is>
      </c>
      <c r="C14" s="19" t="inlineStr">
        <is>
          <t>x</t>
        </is>
      </c>
      <c r="D14" s="20">
        <f>IF(AND($C14="x",$A14&lt;&gt;""),$A14,"")</f>
        <v/>
      </c>
    </row>
    <row r="15">
      <c r="A15" s="9" t="inlineStr">
        <is>
          <t>campaign</t>
        </is>
      </c>
      <c r="B15" s="18" t="inlineStr">
        <is>
          <t>Campagnenaam</t>
        </is>
      </c>
      <c r="C15" s="19" t="inlineStr">
        <is>
          <t>x</t>
        </is>
      </c>
      <c r="D15" s="20">
        <f>IF(AND($C15="x",$A15&lt;&gt;""),$A15,"")</f>
        <v/>
      </c>
    </row>
    <row r="16">
      <c r="A16" s="9" t="inlineStr">
        <is>
          <t>device</t>
        </is>
      </c>
      <c r="B16" s="18" t="inlineStr">
        <is>
          <t>Apparaat</t>
        </is>
      </c>
      <c r="C16" s="19" t="inlineStr">
        <is>
          <t>x</t>
        </is>
      </c>
      <c r="D16" s="20">
        <f>IF(AND($C16="x",$A16&lt;&gt;""),$A16,"")</f>
        <v/>
      </c>
    </row>
    <row r="17">
      <c r="A17" s="9" t="inlineStr">
        <is>
          <t>impressions</t>
        </is>
      </c>
      <c r="B17" s="18" t="inlineStr">
        <is>
          <t>Vertoningen</t>
        </is>
      </c>
      <c r="C17" s="19" t="inlineStr">
        <is>
          <t>x</t>
        </is>
      </c>
      <c r="D17" s="20">
        <f>IF(AND($C17="x",$A17&lt;&gt;""),$A17,"")</f>
        <v/>
      </c>
    </row>
    <row r="18">
      <c r="A18" s="9" t="inlineStr">
        <is>
          <t>clicks</t>
        </is>
      </c>
      <c r="B18" s="18" t="inlineStr">
        <is>
          <t>Kliks</t>
        </is>
      </c>
      <c r="C18" s="19" t="inlineStr">
        <is>
          <t>x</t>
        </is>
      </c>
      <c r="D18" s="20">
        <f>IF(AND($C18="x",$A18&lt;&gt;""),$A18,"")</f>
        <v/>
      </c>
    </row>
    <row r="19">
      <c r="A19" s="9" t="inlineStr">
        <is>
          <t>totalcost</t>
        </is>
      </c>
      <c r="B19" s="18" t="inlineStr">
        <is>
          <t>Kosten</t>
        </is>
      </c>
      <c r="C19" s="19" t="inlineStr">
        <is>
          <t>x</t>
        </is>
      </c>
      <c r="D19" s="20">
        <f>IF(AND($C19="x",$A19&lt;&gt;""),$A19,"")</f>
        <v/>
      </c>
    </row>
    <row r="20">
      <c r="A20" s="9" t="inlineStr">
        <is>
          <t>conversions</t>
        </is>
      </c>
      <c r="B20" s="18" t="inlineStr">
        <is>
          <t>Conversies</t>
        </is>
      </c>
      <c r="C20" s="19" t="inlineStr">
        <is>
          <t>x</t>
        </is>
      </c>
      <c r="D20" s="20">
        <f>IF(AND($C20="x",$A20&lt;&gt;""),$A20,"")</f>
        <v/>
      </c>
    </row>
    <row r="21">
      <c r="A21" s="14" t="inlineStr">
        <is>
          <t>Eigen veld toevoegen: zet hieronder het Windsor-veld-id in kolom A en een x in kolom C (tot rij 80).</t>
        </is>
      </c>
    </row>
    <row r="22">
      <c r="A22" s="21" t="n"/>
      <c r="C22" s="21" t="n"/>
      <c r="D22" s="20">
        <f>IF(AND($C22="x",$A22&lt;&gt;""),$A22,"")</f>
        <v/>
      </c>
    </row>
    <row r="23">
      <c r="A23" s="21" t="n"/>
      <c r="C23" s="21" t="n"/>
      <c r="D23" s="20">
        <f>IF(AND($C23="x",$A23&lt;&gt;""),$A23,"")</f>
        <v/>
      </c>
    </row>
    <row r="24">
      <c r="A24" s="21" t="n"/>
      <c r="C24" s="21" t="n"/>
      <c r="D24" s="20">
        <f>IF(AND($C24="x",$A24&lt;&gt;""),$A24,"")</f>
        <v/>
      </c>
    </row>
    <row r="25">
      <c r="A25" s="21" t="n"/>
      <c r="C25" s="21" t="n"/>
      <c r="D25" s="20">
        <f>IF(AND($C25="x",$A25&lt;&gt;""),$A25,"")</f>
        <v/>
      </c>
    </row>
    <row r="26">
      <c r="A26" s="21" t="n"/>
      <c r="C26" s="21" t="n"/>
      <c r="D26" s="20">
        <f>IF(AND($C26="x",$A26&lt;&gt;""),$A26,"")</f>
        <v/>
      </c>
    </row>
    <row r="27">
      <c r="A27" s="21" t="n"/>
      <c r="C27" s="21" t="n"/>
      <c r="D27" s="20">
        <f>IF(AND($C27="x",$A27&lt;&gt;""),$A27,"")</f>
        <v/>
      </c>
    </row>
    <row r="28">
      <c r="A28" s="21" t="n"/>
      <c r="C28" s="21" t="n"/>
      <c r="D28" s="20">
        <f>IF(AND($C28="x",$A28&lt;&gt;""),$A28,"")</f>
        <v/>
      </c>
    </row>
    <row r="29">
      <c r="A29" s="21" t="n"/>
      <c r="C29" s="21" t="n"/>
      <c r="D29" s="20">
        <f>IF(AND($C29="x",$A29&lt;&gt;""),$A29,"")</f>
        <v/>
      </c>
    </row>
    <row r="30">
      <c r="A30" s="21" t="n"/>
      <c r="C30" s="21" t="n"/>
      <c r="D30" s="20">
        <f>IF(AND($C30="x",$A30&lt;&gt;""),$A30,"")</f>
        <v/>
      </c>
    </row>
    <row r="31">
      <c r="A31" s="21" t="n"/>
      <c r="C31" s="21" t="n"/>
      <c r="D31" s="20">
        <f>IF(AND($C31="x",$A31&lt;&gt;""),$A31,"")</f>
        <v/>
      </c>
    </row>
    <row r="32">
      <c r="A32" s="21" t="n"/>
      <c r="C32" s="21" t="n"/>
      <c r="D32" s="20">
        <f>IF(AND($C32="x",$A32&lt;&gt;""),$A32,"")</f>
        <v/>
      </c>
    </row>
    <row r="33">
      <c r="A33" s="21" t="n"/>
      <c r="C33" s="21" t="n"/>
      <c r="D33" s="20">
        <f>IF(AND($C33="x",$A33&lt;&gt;""),$A33,"")</f>
        <v/>
      </c>
    </row>
    <row r="34">
      <c r="A34" s="21" t="n"/>
      <c r="C34" s="21" t="n"/>
      <c r="D34" s="20">
        <f>IF(AND($C34="x",$A34&lt;&gt;""),$A34,"")</f>
        <v/>
      </c>
    </row>
    <row r="35">
      <c r="A35" s="21" t="n"/>
      <c r="C35" s="21" t="n"/>
      <c r="D35" s="20">
        <f>IF(AND($C35="x",$A35&lt;&gt;""),$A35,"")</f>
        <v/>
      </c>
    </row>
    <row r="36">
      <c r="A36" s="21" t="n"/>
      <c r="C36" s="21" t="n"/>
      <c r="D36" s="20">
        <f>IF(AND($C36="x",$A36&lt;&gt;""),$A36,"")</f>
        <v/>
      </c>
    </row>
    <row r="37">
      <c r="A37" s="21" t="n"/>
      <c r="C37" s="21" t="n"/>
      <c r="D37" s="20">
        <f>IF(AND($C37="x",$A37&lt;&gt;""),$A37,"")</f>
        <v/>
      </c>
    </row>
    <row r="38">
      <c r="A38" s="21" t="n"/>
      <c r="C38" s="21" t="n"/>
      <c r="D38" s="20">
        <f>IF(AND($C38="x",$A38&lt;&gt;""),$A38,"")</f>
        <v/>
      </c>
    </row>
    <row r="39">
      <c r="A39" s="21" t="n"/>
      <c r="C39" s="21" t="n"/>
      <c r="D39" s="20">
        <f>IF(AND($C39="x",$A39&lt;&gt;""),$A39,"")</f>
        <v/>
      </c>
    </row>
    <row r="40">
      <c r="A40" s="21" t="n"/>
      <c r="C40" s="21" t="n"/>
      <c r="D40" s="20">
        <f>IF(AND($C40="x",$A40&lt;&gt;""),$A40,"")</f>
        <v/>
      </c>
    </row>
    <row r="41">
      <c r="A41" s="21" t="n"/>
      <c r="C41" s="21" t="n"/>
      <c r="D41" s="20">
        <f>IF(AND($C41="x",$A41&lt;&gt;""),$A41,"")</f>
        <v/>
      </c>
    </row>
    <row r="42">
      <c r="A42" s="21" t="n"/>
      <c r="C42" s="21" t="n"/>
      <c r="D42" s="20">
        <f>IF(AND($C42="x",$A42&lt;&gt;""),$A42,"")</f>
        <v/>
      </c>
    </row>
    <row r="43">
      <c r="A43" s="21" t="n"/>
      <c r="C43" s="21" t="n"/>
      <c r="D43" s="20">
        <f>IF(AND($C43="x",$A43&lt;&gt;""),$A43,"")</f>
        <v/>
      </c>
    </row>
    <row r="44">
      <c r="A44" s="21" t="n"/>
      <c r="C44" s="21" t="n"/>
      <c r="D44" s="20">
        <f>IF(AND($C44="x",$A44&lt;&gt;""),$A44,"")</f>
        <v/>
      </c>
    </row>
    <row r="45">
      <c r="A45" s="21" t="n"/>
      <c r="C45" s="21" t="n"/>
      <c r="D45" s="20">
        <f>IF(AND($C45="x",$A45&lt;&gt;""),$A45,"")</f>
        <v/>
      </c>
    </row>
    <row r="46">
      <c r="A46" s="21" t="n"/>
      <c r="C46" s="21" t="n"/>
      <c r="D46" s="20">
        <f>IF(AND($C46="x",$A46&lt;&gt;""),$A46,"")</f>
        <v/>
      </c>
    </row>
    <row r="47">
      <c r="A47" s="21" t="n"/>
      <c r="C47" s="21" t="n"/>
      <c r="D47" s="20">
        <f>IF(AND($C47="x",$A47&lt;&gt;""),$A47,"")</f>
        <v/>
      </c>
    </row>
    <row r="48">
      <c r="A48" s="21" t="n"/>
      <c r="C48" s="21" t="n"/>
      <c r="D48" s="20">
        <f>IF(AND($C48="x",$A48&lt;&gt;""),$A48,"")</f>
        <v/>
      </c>
    </row>
    <row r="49">
      <c r="A49" s="21" t="n"/>
      <c r="C49" s="21" t="n"/>
      <c r="D49" s="20">
        <f>IF(AND($C49="x",$A49&lt;&gt;""),$A49,"")</f>
        <v/>
      </c>
    </row>
    <row r="50">
      <c r="A50" s="21" t="n"/>
      <c r="C50" s="21" t="n"/>
      <c r="D50" s="20">
        <f>IF(AND($C50="x",$A50&lt;&gt;""),$A50,"")</f>
        <v/>
      </c>
    </row>
    <row r="51">
      <c r="A51" s="21" t="n"/>
      <c r="C51" s="21" t="n"/>
      <c r="D51" s="20">
        <f>IF(AND($C51="x",$A51&lt;&gt;""),$A51,"")</f>
        <v/>
      </c>
    </row>
    <row r="52">
      <c r="A52" s="21" t="n"/>
      <c r="C52" s="21" t="n"/>
      <c r="D52" s="20">
        <f>IF(AND($C52="x",$A52&lt;&gt;""),$A52,"")</f>
        <v/>
      </c>
    </row>
    <row r="53">
      <c r="A53" s="21" t="n"/>
      <c r="C53" s="21" t="n"/>
      <c r="D53" s="20">
        <f>IF(AND($C53="x",$A53&lt;&gt;""),$A53,"")</f>
        <v/>
      </c>
    </row>
    <row r="54">
      <c r="A54" s="21" t="n"/>
      <c r="C54" s="21" t="n"/>
      <c r="D54" s="20">
        <f>IF(AND($C54="x",$A54&lt;&gt;""),$A54,"")</f>
        <v/>
      </c>
    </row>
    <row r="55">
      <c r="A55" s="21" t="n"/>
      <c r="C55" s="21" t="n"/>
      <c r="D55" s="20">
        <f>IF(AND($C55="x",$A55&lt;&gt;""),$A55,"")</f>
        <v/>
      </c>
    </row>
    <row r="56">
      <c r="A56" s="21" t="n"/>
      <c r="C56" s="21" t="n"/>
      <c r="D56" s="20">
        <f>IF(AND($C56="x",$A56&lt;&gt;""),$A56,"")</f>
        <v/>
      </c>
    </row>
    <row r="57">
      <c r="A57" s="21" t="n"/>
      <c r="C57" s="21" t="n"/>
      <c r="D57" s="20">
        <f>IF(AND($C57="x",$A57&lt;&gt;""),$A57,"")</f>
        <v/>
      </c>
    </row>
    <row r="58">
      <c r="A58" s="21" t="n"/>
      <c r="C58" s="21" t="n"/>
      <c r="D58" s="20">
        <f>IF(AND($C58="x",$A58&lt;&gt;""),$A58,"")</f>
        <v/>
      </c>
    </row>
    <row r="59">
      <c r="A59" s="21" t="n"/>
      <c r="C59" s="21" t="n"/>
      <c r="D59" s="20">
        <f>IF(AND($C59="x",$A59&lt;&gt;""),$A59,"")</f>
        <v/>
      </c>
    </row>
    <row r="60">
      <c r="A60" s="21" t="n"/>
      <c r="C60" s="21" t="n"/>
      <c r="D60" s="20">
        <f>IF(AND($C60="x",$A60&lt;&gt;""),$A60,"")</f>
        <v/>
      </c>
    </row>
    <row r="61">
      <c r="A61" s="21" t="n"/>
      <c r="C61" s="21" t="n"/>
      <c r="D61" s="20">
        <f>IF(AND($C61="x",$A61&lt;&gt;""),$A61,"")</f>
        <v/>
      </c>
    </row>
    <row r="62">
      <c r="A62" s="21" t="n"/>
      <c r="C62" s="21" t="n"/>
      <c r="D62" s="20">
        <f>IF(AND($C62="x",$A62&lt;&gt;""),$A62,"")</f>
        <v/>
      </c>
    </row>
    <row r="63">
      <c r="A63" s="21" t="n"/>
      <c r="C63" s="21" t="n"/>
      <c r="D63" s="20">
        <f>IF(AND($C63="x",$A63&lt;&gt;""),$A63,"")</f>
        <v/>
      </c>
    </row>
    <row r="64">
      <c r="A64" s="21" t="n"/>
      <c r="C64" s="21" t="n"/>
      <c r="D64" s="20">
        <f>IF(AND($C64="x",$A64&lt;&gt;""),$A64,"")</f>
        <v/>
      </c>
    </row>
    <row r="65">
      <c r="A65" s="21" t="n"/>
      <c r="C65" s="21" t="n"/>
      <c r="D65" s="20">
        <f>IF(AND($C65="x",$A65&lt;&gt;""),$A65,"")</f>
        <v/>
      </c>
    </row>
    <row r="66">
      <c r="A66" s="21" t="n"/>
      <c r="C66" s="21" t="n"/>
      <c r="D66" s="20">
        <f>IF(AND($C66="x",$A66&lt;&gt;""),$A66,"")</f>
        <v/>
      </c>
    </row>
    <row r="67">
      <c r="A67" s="21" t="n"/>
      <c r="C67" s="21" t="n"/>
      <c r="D67" s="20">
        <f>IF(AND($C67="x",$A67&lt;&gt;""),$A67,"")</f>
        <v/>
      </c>
    </row>
    <row r="68">
      <c r="A68" s="21" t="n"/>
      <c r="C68" s="21" t="n"/>
      <c r="D68" s="20">
        <f>IF(AND($C68="x",$A68&lt;&gt;""),$A68,"")</f>
        <v/>
      </c>
    </row>
    <row r="69">
      <c r="A69" s="21" t="n"/>
      <c r="C69" s="21" t="n"/>
      <c r="D69" s="20">
        <f>IF(AND($C69="x",$A69&lt;&gt;""),$A69,"")</f>
        <v/>
      </c>
    </row>
    <row r="70">
      <c r="A70" s="21" t="n"/>
      <c r="C70" s="21" t="n"/>
      <c r="D70" s="20">
        <f>IF(AND($C70="x",$A70&lt;&gt;""),$A70,"")</f>
        <v/>
      </c>
    </row>
    <row r="71">
      <c r="A71" s="21" t="n"/>
      <c r="C71" s="21" t="n"/>
      <c r="D71" s="20">
        <f>IF(AND($C71="x",$A71&lt;&gt;""),$A71,"")</f>
        <v/>
      </c>
    </row>
    <row r="72">
      <c r="A72" s="21" t="n"/>
      <c r="C72" s="21" t="n"/>
      <c r="D72" s="20">
        <f>IF(AND($C72="x",$A72&lt;&gt;""),$A72,"")</f>
        <v/>
      </c>
    </row>
    <row r="73">
      <c r="A73" s="21" t="n"/>
      <c r="C73" s="21" t="n"/>
      <c r="D73" s="20">
        <f>IF(AND($C73="x",$A73&lt;&gt;""),$A73,"")</f>
        <v/>
      </c>
    </row>
    <row r="74">
      <c r="A74" s="21" t="n"/>
      <c r="C74" s="21" t="n"/>
      <c r="D74" s="20">
        <f>IF(AND($C74="x",$A74&lt;&gt;""),$A74,"")</f>
        <v/>
      </c>
    </row>
    <row r="75">
      <c r="A75" s="21" t="n"/>
      <c r="C75" s="21" t="n"/>
      <c r="D75" s="20">
        <f>IF(AND($C75="x",$A75&lt;&gt;""),$A75,"")</f>
        <v/>
      </c>
    </row>
    <row r="76">
      <c r="A76" s="21" t="n"/>
      <c r="C76" s="21" t="n"/>
      <c r="D76" s="20">
        <f>IF(AND($C76="x",$A76&lt;&gt;""),$A76,"")</f>
        <v/>
      </c>
    </row>
    <row r="77">
      <c r="A77" s="21" t="n"/>
      <c r="C77" s="21" t="n"/>
      <c r="D77" s="20">
        <f>IF(AND($C77="x",$A77&lt;&gt;""),$A77,"")</f>
        <v/>
      </c>
    </row>
    <row r="78">
      <c r="A78" s="21" t="n"/>
      <c r="C78" s="21" t="n"/>
      <c r="D78" s="20">
        <f>IF(AND($C78="x",$A78&lt;&gt;""),$A78,"")</f>
        <v/>
      </c>
    </row>
    <row r="79">
      <c r="A79" s="21" t="n"/>
      <c r="C79" s="21" t="n"/>
      <c r="D79" s="20">
        <f>IF(AND($C79="x",$A79&lt;&gt;""),$A79,"")</f>
        <v/>
      </c>
    </row>
    <row r="80">
      <c r="A80" s="21" t="n"/>
      <c r="C80" s="21" t="n"/>
      <c r="D80" s="20">
        <f>IF(AND($C80="x",$A80&lt;&gt;""),$A80,"")</f>
        <v/>
      </c>
    </row>
  </sheetData>
  <mergeCells count="2">
    <mergeCell ref="B8:D8"/>
    <mergeCell ref="A21:C21"/>
  </mergeCells>
  <dataValidations count="1">
    <dataValidation sqref="C12 C13 C14 C15 C16 C17 C18 C19 C20 C21 C22 C23 C24 C25 C26 C27 C28 C29 C30 C31 C32 C33 C34 C35 C36 C37 C38 C39 C40 C41 C42 C43 C44 C45 C46 C47 C48 C49 C50 C51 C52 C53 C54 C55 C56 C57 C58 C59 C60 C61 C62 C63 C64 C65 C66 C67 C68 C69 C70 C71 C72 C73 C74 C75 C76 C77 C78 C79 C80" showDropDown="0" showInputMessage="0" showErrorMessage="1" allowBlank="1" errorTitle="Alleen x" error="Zet een x om het veld op te nemen, of laat de cel leeg." type="list">
      <formula1>"x"</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80"/>
  <sheetViews>
    <sheetView workbookViewId="0">
      <pane ySplit="11" topLeftCell="A12" activePane="bottomLeft" state="frozen"/>
      <selection pane="bottomLeft" activeCell="A1" sqref="A1"/>
    </sheetView>
  </sheetViews>
  <sheetFormatPr baseColWidth="8" defaultRowHeight="15"/>
  <cols>
    <col width="44" customWidth="1" min="1" max="1"/>
    <col width="62" customWidth="1" min="2" max="2"/>
    <col width="13" customWidth="1" min="3" max="3"/>
    <col hidden="1" width="10" customWidth="1" min="4" max="4"/>
  </cols>
  <sheetData>
    <row r="1">
      <c r="A1" s="13" t="inlineStr">
        <is>
          <t>Windsor-export: Google Ads conversieacties</t>
        </is>
      </c>
      <c r="C1" s="14" t="inlineStr">
        <is>
          <t>Status: Aanbevolen · Ads → Google Ads conversieacties</t>
        </is>
      </c>
    </row>
    <row r="2">
      <c r="A2" s="3" t="inlineStr">
        <is>
          <t>Connector</t>
        </is>
      </c>
      <c r="B2" s="6" t="inlineStr">
        <is>
          <t>google_ads</t>
        </is>
      </c>
    </row>
    <row r="3">
      <c r="A3" s="3" t="inlineStr">
        <is>
          <t>Account-id (uit Instellingen)</t>
        </is>
      </c>
      <c r="B3" s="15">
        <f>Instellingen!$B$14</f>
        <v/>
      </c>
    </row>
    <row r="4">
      <c r="A4" s="3" t="inlineStr">
        <is>
          <t>Taaknaam (Task name)</t>
        </is>
      </c>
      <c r="B4" s="15">
        <f>"Windsor - Sheets - Google Ads conversieacties - "&amp;Instellingen!$B$3</f>
        <v/>
      </c>
    </row>
    <row r="5">
      <c r="A5" s="3" t="inlineStr">
        <is>
          <t>Tabnaam (Sheet Name)</t>
        </is>
      </c>
      <c r="B5" s="15">
        <f>"Google Ads - conversieacties - "&amp;Instellingen!$B$3&amp;" - windsor.ai"</f>
        <v/>
      </c>
      <c r="C5" s="12" t="inlineStr">
        <is>
          <t>Herkenning in api/_sheetdata.js gaat op bron + niveau in deze naam; hou het voorstel aan.</t>
        </is>
      </c>
    </row>
    <row r="6">
      <c r="A6" s="3" t="inlineStr">
        <is>
          <t>Columns to Match (rows to replace)</t>
        </is>
      </c>
      <c r="B6" s="6" t="inlineStr">
        <is>
          <t>date</t>
        </is>
      </c>
      <c r="C6" s="12" t="inlineStr">
        <is>
          <t>Voorstel; zoals bij de bestaande exports.</t>
        </is>
      </c>
    </row>
    <row r="7">
      <c r="A7" s="3" t="inlineStr">
        <is>
          <t>Schedule</t>
        </is>
      </c>
      <c r="B7" s="6" t="inlineStr">
        <is>
          <t>Daily · 00:00 UTC · Target Cell A1 · Authentication: Google Account</t>
        </is>
      </c>
    </row>
    <row r="8" ht="90" customHeight="1">
      <c r="A8" s="3" t="inlineStr">
        <is>
          <t>Query (gegenereerd — api_key blijft leeg)</t>
        </is>
      </c>
      <c r="B8" s="16">
        <f>"https://connectors.windsor.ai/"&amp;$B$2&amp;"?api_key="&amp;IF(Instellingen!$B$4&lt;&gt;"","&amp;date_preset="&amp;Instellingen!$B$4,"")&amp;"&amp;fields="&amp;_xlfn.TEXTJOIN(",",TRUE,$D$12:$D$80)&amp;IF($B$3&lt;&gt;"","&amp;select_accounts="&amp;$B$3,"")&amp;IF(Instellingen!$B$5&lt;&gt;"","&amp;_field_headers="&amp;Instellingen!$B$5,"")</f>
        <v/>
      </c>
    </row>
    <row r="9">
      <c r="A9" s="3" t="inlineStr">
        <is>
          <t>Aantal velden in de query</t>
        </is>
      </c>
      <c r="B9" s="17">
        <f>COUNTIF($C$12:$C$80,"x")</f>
        <v/>
      </c>
    </row>
    <row r="11">
      <c r="A11" s="8" t="inlineStr">
        <is>
          <t>Veld (Windsor-id)</t>
        </is>
      </c>
      <c r="B11" s="8" t="inlineStr">
        <is>
          <t>Gebruik in het dashboard</t>
        </is>
      </c>
      <c r="C11" s="8" t="inlineStr">
        <is>
          <t>Opnemen (x)</t>
        </is>
      </c>
      <c r="D11" s="8" t="inlineStr">
        <is>
          <t>→ query</t>
        </is>
      </c>
    </row>
    <row r="12">
      <c r="A12" s="9" t="inlineStr">
        <is>
          <t>date</t>
        </is>
      </c>
      <c r="B12" s="18" t="inlineStr">
        <is>
          <t>Datumkolom: 'Columns to Match' en periodefilter</t>
        </is>
      </c>
      <c r="C12" s="19" t="inlineStr">
        <is>
          <t>x</t>
        </is>
      </c>
      <c r="D12" s="20">
        <f>IF(AND($C12="x",$A12&lt;&gt;""),$A12,"")</f>
        <v/>
      </c>
    </row>
    <row r="13">
      <c r="A13" s="9" t="inlineStr">
        <is>
          <t>account_id</t>
        </is>
      </c>
      <c r="B13" s="18" t="inlineStr">
        <is>
          <t>Accountcontrole: alleen rijen van dit account tellen mee</t>
        </is>
      </c>
      <c r="C13" s="19" t="inlineStr">
        <is>
          <t>x</t>
        </is>
      </c>
      <c r="D13" s="20">
        <f>IF(AND($C13="x",$A13&lt;&gt;""),$A13,"")</f>
        <v/>
      </c>
    </row>
    <row r="14">
      <c r="A14" s="9" t="inlineStr">
        <is>
          <t>account_name</t>
        </is>
      </c>
      <c r="B14" s="18" t="inlineStr">
        <is>
          <t>Idem, leesbaar</t>
        </is>
      </c>
      <c r="C14" s="19" t="inlineStr">
        <is>
          <t>x</t>
        </is>
      </c>
      <c r="D14" s="20">
        <f>IF(AND($C14="x",$A14&lt;&gt;""),$A14,"")</f>
        <v/>
      </c>
    </row>
    <row r="15">
      <c r="A15" s="9" t="inlineStr">
        <is>
          <t>campaign</t>
        </is>
      </c>
      <c r="B15" s="18" t="inlineStr">
        <is>
          <t>Campagnenaam</t>
        </is>
      </c>
      <c r="C15" s="19" t="inlineStr">
        <is>
          <t>x</t>
        </is>
      </c>
      <c r="D15" s="20">
        <f>IF(AND($C15="x",$A15&lt;&gt;""),$A15,"")</f>
        <v/>
      </c>
    </row>
    <row r="16">
      <c r="A16" s="9" t="inlineStr">
        <is>
          <t>conversion_action_name</t>
        </is>
      </c>
      <c r="B16" s="18" t="inlineStr">
        <is>
          <t>Conversieactie</t>
        </is>
      </c>
      <c r="C16" s="19" t="inlineStr">
        <is>
          <t>x</t>
        </is>
      </c>
      <c r="D16" s="20">
        <f>IF(AND($C16="x",$A16&lt;&gt;""),$A16,"")</f>
        <v/>
      </c>
    </row>
    <row r="17">
      <c r="A17" s="9" t="inlineStr">
        <is>
          <t>conversions</t>
        </is>
      </c>
      <c r="B17" s="18" t="inlineStr">
        <is>
          <t>Conversies (Google weigert impressions/clicks hiernaast)</t>
        </is>
      </c>
      <c r="C17" s="19" t="inlineStr">
        <is>
          <t>x</t>
        </is>
      </c>
      <c r="D17" s="20">
        <f>IF(AND($C17="x",$A17&lt;&gt;""),$A17,"")</f>
        <v/>
      </c>
    </row>
    <row r="18">
      <c r="A18" s="14" t="inlineStr">
        <is>
          <t>Eigen veld toevoegen: zet hieronder het Windsor-veld-id in kolom A en een x in kolom C (tot rij 80).</t>
        </is>
      </c>
    </row>
    <row r="19">
      <c r="A19" s="21" t="n"/>
      <c r="C19" s="21" t="n"/>
      <c r="D19" s="20">
        <f>IF(AND($C19="x",$A19&lt;&gt;""),$A19,"")</f>
        <v/>
      </c>
    </row>
    <row r="20">
      <c r="A20" s="21" t="n"/>
      <c r="C20" s="21" t="n"/>
      <c r="D20" s="20">
        <f>IF(AND($C20="x",$A20&lt;&gt;""),$A20,"")</f>
        <v/>
      </c>
    </row>
    <row r="21">
      <c r="A21" s="21" t="n"/>
      <c r="C21" s="21" t="n"/>
      <c r="D21" s="20">
        <f>IF(AND($C21="x",$A21&lt;&gt;""),$A21,"")</f>
        <v/>
      </c>
    </row>
    <row r="22">
      <c r="A22" s="21" t="n"/>
      <c r="C22" s="21" t="n"/>
      <c r="D22" s="20">
        <f>IF(AND($C22="x",$A22&lt;&gt;""),$A22,"")</f>
        <v/>
      </c>
    </row>
    <row r="23">
      <c r="A23" s="21" t="n"/>
      <c r="C23" s="21" t="n"/>
      <c r="D23" s="20">
        <f>IF(AND($C23="x",$A23&lt;&gt;""),$A23,"")</f>
        <v/>
      </c>
    </row>
    <row r="24">
      <c r="A24" s="21" t="n"/>
      <c r="C24" s="21" t="n"/>
      <c r="D24" s="20">
        <f>IF(AND($C24="x",$A24&lt;&gt;""),$A24,"")</f>
        <v/>
      </c>
    </row>
    <row r="25">
      <c r="A25" s="21" t="n"/>
      <c r="C25" s="21" t="n"/>
      <c r="D25" s="20">
        <f>IF(AND($C25="x",$A25&lt;&gt;""),$A25,"")</f>
        <v/>
      </c>
    </row>
    <row r="26">
      <c r="A26" s="21" t="n"/>
      <c r="C26" s="21" t="n"/>
      <c r="D26" s="20">
        <f>IF(AND($C26="x",$A26&lt;&gt;""),$A26,"")</f>
        <v/>
      </c>
    </row>
    <row r="27">
      <c r="A27" s="21" t="n"/>
      <c r="C27" s="21" t="n"/>
      <c r="D27" s="20">
        <f>IF(AND($C27="x",$A27&lt;&gt;""),$A27,"")</f>
        <v/>
      </c>
    </row>
    <row r="28">
      <c r="A28" s="21" t="n"/>
      <c r="C28" s="21" t="n"/>
      <c r="D28" s="20">
        <f>IF(AND($C28="x",$A28&lt;&gt;""),$A28,"")</f>
        <v/>
      </c>
    </row>
    <row r="29">
      <c r="A29" s="21" t="n"/>
      <c r="C29" s="21" t="n"/>
      <c r="D29" s="20">
        <f>IF(AND($C29="x",$A29&lt;&gt;""),$A29,"")</f>
        <v/>
      </c>
    </row>
    <row r="30">
      <c r="A30" s="21" t="n"/>
      <c r="C30" s="21" t="n"/>
      <c r="D30" s="20">
        <f>IF(AND($C30="x",$A30&lt;&gt;""),$A30,"")</f>
        <v/>
      </c>
    </row>
    <row r="31">
      <c r="A31" s="21" t="n"/>
      <c r="C31" s="21" t="n"/>
      <c r="D31" s="20">
        <f>IF(AND($C31="x",$A31&lt;&gt;""),$A31,"")</f>
        <v/>
      </c>
    </row>
    <row r="32">
      <c r="A32" s="21" t="n"/>
      <c r="C32" s="21" t="n"/>
      <c r="D32" s="20">
        <f>IF(AND($C32="x",$A32&lt;&gt;""),$A32,"")</f>
        <v/>
      </c>
    </row>
    <row r="33">
      <c r="A33" s="21" t="n"/>
      <c r="C33" s="21" t="n"/>
      <c r="D33" s="20">
        <f>IF(AND($C33="x",$A33&lt;&gt;""),$A33,"")</f>
        <v/>
      </c>
    </row>
    <row r="34">
      <c r="A34" s="21" t="n"/>
      <c r="C34" s="21" t="n"/>
      <c r="D34" s="20">
        <f>IF(AND($C34="x",$A34&lt;&gt;""),$A34,"")</f>
        <v/>
      </c>
    </row>
    <row r="35">
      <c r="A35" s="21" t="n"/>
      <c r="C35" s="21" t="n"/>
      <c r="D35" s="20">
        <f>IF(AND($C35="x",$A35&lt;&gt;""),$A35,"")</f>
        <v/>
      </c>
    </row>
    <row r="36">
      <c r="A36" s="21" t="n"/>
      <c r="C36" s="21" t="n"/>
      <c r="D36" s="20">
        <f>IF(AND($C36="x",$A36&lt;&gt;""),$A36,"")</f>
        <v/>
      </c>
    </row>
    <row r="37">
      <c r="A37" s="21" t="n"/>
      <c r="C37" s="21" t="n"/>
      <c r="D37" s="20">
        <f>IF(AND($C37="x",$A37&lt;&gt;""),$A37,"")</f>
        <v/>
      </c>
    </row>
    <row r="38">
      <c r="A38" s="21" t="n"/>
      <c r="C38" s="21" t="n"/>
      <c r="D38" s="20">
        <f>IF(AND($C38="x",$A38&lt;&gt;""),$A38,"")</f>
        <v/>
      </c>
    </row>
    <row r="39">
      <c r="A39" s="21" t="n"/>
      <c r="C39" s="21" t="n"/>
      <c r="D39" s="20">
        <f>IF(AND($C39="x",$A39&lt;&gt;""),$A39,"")</f>
        <v/>
      </c>
    </row>
    <row r="40">
      <c r="A40" s="21" t="n"/>
      <c r="C40" s="21" t="n"/>
      <c r="D40" s="20">
        <f>IF(AND($C40="x",$A40&lt;&gt;""),$A40,"")</f>
        <v/>
      </c>
    </row>
    <row r="41">
      <c r="A41" s="21" t="n"/>
      <c r="C41" s="21" t="n"/>
      <c r="D41" s="20">
        <f>IF(AND($C41="x",$A41&lt;&gt;""),$A41,"")</f>
        <v/>
      </c>
    </row>
    <row r="42">
      <c r="A42" s="21" t="n"/>
      <c r="C42" s="21" t="n"/>
      <c r="D42" s="20">
        <f>IF(AND($C42="x",$A42&lt;&gt;""),$A42,"")</f>
        <v/>
      </c>
    </row>
    <row r="43">
      <c r="A43" s="21" t="n"/>
      <c r="C43" s="21" t="n"/>
      <c r="D43" s="20">
        <f>IF(AND($C43="x",$A43&lt;&gt;""),$A43,"")</f>
        <v/>
      </c>
    </row>
    <row r="44">
      <c r="A44" s="21" t="n"/>
      <c r="C44" s="21" t="n"/>
      <c r="D44" s="20">
        <f>IF(AND($C44="x",$A44&lt;&gt;""),$A44,"")</f>
        <v/>
      </c>
    </row>
    <row r="45">
      <c r="A45" s="21" t="n"/>
      <c r="C45" s="21" t="n"/>
      <c r="D45" s="20">
        <f>IF(AND($C45="x",$A45&lt;&gt;""),$A45,"")</f>
        <v/>
      </c>
    </row>
    <row r="46">
      <c r="A46" s="21" t="n"/>
      <c r="C46" s="21" t="n"/>
      <c r="D46" s="20">
        <f>IF(AND($C46="x",$A46&lt;&gt;""),$A46,"")</f>
        <v/>
      </c>
    </row>
    <row r="47">
      <c r="A47" s="21" t="n"/>
      <c r="C47" s="21" t="n"/>
      <c r="D47" s="20">
        <f>IF(AND($C47="x",$A47&lt;&gt;""),$A47,"")</f>
        <v/>
      </c>
    </row>
    <row r="48">
      <c r="A48" s="21" t="n"/>
      <c r="C48" s="21" t="n"/>
      <c r="D48" s="20">
        <f>IF(AND($C48="x",$A48&lt;&gt;""),$A48,"")</f>
        <v/>
      </c>
    </row>
    <row r="49">
      <c r="A49" s="21" t="n"/>
      <c r="C49" s="21" t="n"/>
      <c r="D49" s="20">
        <f>IF(AND($C49="x",$A49&lt;&gt;""),$A49,"")</f>
        <v/>
      </c>
    </row>
    <row r="50">
      <c r="A50" s="21" t="n"/>
      <c r="C50" s="21" t="n"/>
      <c r="D50" s="20">
        <f>IF(AND($C50="x",$A50&lt;&gt;""),$A50,"")</f>
        <v/>
      </c>
    </row>
    <row r="51">
      <c r="A51" s="21" t="n"/>
      <c r="C51" s="21" t="n"/>
      <c r="D51" s="20">
        <f>IF(AND($C51="x",$A51&lt;&gt;""),$A51,"")</f>
        <v/>
      </c>
    </row>
    <row r="52">
      <c r="A52" s="21" t="n"/>
      <c r="C52" s="21" t="n"/>
      <c r="D52" s="20">
        <f>IF(AND($C52="x",$A52&lt;&gt;""),$A52,"")</f>
        <v/>
      </c>
    </row>
    <row r="53">
      <c r="A53" s="21" t="n"/>
      <c r="C53" s="21" t="n"/>
      <c r="D53" s="20">
        <f>IF(AND($C53="x",$A53&lt;&gt;""),$A53,"")</f>
        <v/>
      </c>
    </row>
    <row r="54">
      <c r="A54" s="21" t="n"/>
      <c r="C54" s="21" t="n"/>
      <c r="D54" s="20">
        <f>IF(AND($C54="x",$A54&lt;&gt;""),$A54,"")</f>
        <v/>
      </c>
    </row>
    <row r="55">
      <c r="A55" s="21" t="n"/>
      <c r="C55" s="21" t="n"/>
      <c r="D55" s="20">
        <f>IF(AND($C55="x",$A55&lt;&gt;""),$A55,"")</f>
        <v/>
      </c>
    </row>
    <row r="56">
      <c r="A56" s="21" t="n"/>
      <c r="C56" s="21" t="n"/>
      <c r="D56" s="20">
        <f>IF(AND($C56="x",$A56&lt;&gt;""),$A56,"")</f>
        <v/>
      </c>
    </row>
    <row r="57">
      <c r="A57" s="21" t="n"/>
      <c r="C57" s="21" t="n"/>
      <c r="D57" s="20">
        <f>IF(AND($C57="x",$A57&lt;&gt;""),$A57,"")</f>
        <v/>
      </c>
    </row>
    <row r="58">
      <c r="A58" s="21" t="n"/>
      <c r="C58" s="21" t="n"/>
      <c r="D58" s="20">
        <f>IF(AND($C58="x",$A58&lt;&gt;""),$A58,"")</f>
        <v/>
      </c>
    </row>
    <row r="59">
      <c r="A59" s="21" t="n"/>
      <c r="C59" s="21" t="n"/>
      <c r="D59" s="20">
        <f>IF(AND($C59="x",$A59&lt;&gt;""),$A59,"")</f>
        <v/>
      </c>
    </row>
    <row r="60">
      <c r="A60" s="21" t="n"/>
      <c r="C60" s="21" t="n"/>
      <c r="D60" s="20">
        <f>IF(AND($C60="x",$A60&lt;&gt;""),$A60,"")</f>
        <v/>
      </c>
    </row>
    <row r="61">
      <c r="A61" s="21" t="n"/>
      <c r="C61" s="21" t="n"/>
      <c r="D61" s="20">
        <f>IF(AND($C61="x",$A61&lt;&gt;""),$A61,"")</f>
        <v/>
      </c>
    </row>
    <row r="62">
      <c r="A62" s="21" t="n"/>
      <c r="C62" s="21" t="n"/>
      <c r="D62" s="20">
        <f>IF(AND($C62="x",$A62&lt;&gt;""),$A62,"")</f>
        <v/>
      </c>
    </row>
    <row r="63">
      <c r="A63" s="21" t="n"/>
      <c r="C63" s="21" t="n"/>
      <c r="D63" s="20">
        <f>IF(AND($C63="x",$A63&lt;&gt;""),$A63,"")</f>
        <v/>
      </c>
    </row>
    <row r="64">
      <c r="A64" s="21" t="n"/>
      <c r="C64" s="21" t="n"/>
      <c r="D64" s="20">
        <f>IF(AND($C64="x",$A64&lt;&gt;""),$A64,"")</f>
        <v/>
      </c>
    </row>
    <row r="65">
      <c r="A65" s="21" t="n"/>
      <c r="C65" s="21" t="n"/>
      <c r="D65" s="20">
        <f>IF(AND($C65="x",$A65&lt;&gt;""),$A65,"")</f>
        <v/>
      </c>
    </row>
    <row r="66">
      <c r="A66" s="21" t="n"/>
      <c r="C66" s="21" t="n"/>
      <c r="D66" s="20">
        <f>IF(AND($C66="x",$A66&lt;&gt;""),$A66,"")</f>
        <v/>
      </c>
    </row>
    <row r="67">
      <c r="A67" s="21" t="n"/>
      <c r="C67" s="21" t="n"/>
      <c r="D67" s="20">
        <f>IF(AND($C67="x",$A67&lt;&gt;""),$A67,"")</f>
        <v/>
      </c>
    </row>
    <row r="68">
      <c r="A68" s="21" t="n"/>
      <c r="C68" s="21" t="n"/>
      <c r="D68" s="20">
        <f>IF(AND($C68="x",$A68&lt;&gt;""),$A68,"")</f>
        <v/>
      </c>
    </row>
    <row r="69">
      <c r="A69" s="21" t="n"/>
      <c r="C69" s="21" t="n"/>
      <c r="D69" s="20">
        <f>IF(AND($C69="x",$A69&lt;&gt;""),$A69,"")</f>
        <v/>
      </c>
    </row>
    <row r="70">
      <c r="A70" s="21" t="n"/>
      <c r="C70" s="21" t="n"/>
      <c r="D70" s="20">
        <f>IF(AND($C70="x",$A70&lt;&gt;""),$A70,"")</f>
        <v/>
      </c>
    </row>
    <row r="71">
      <c r="A71" s="21" t="n"/>
      <c r="C71" s="21" t="n"/>
      <c r="D71" s="20">
        <f>IF(AND($C71="x",$A71&lt;&gt;""),$A71,"")</f>
        <v/>
      </c>
    </row>
    <row r="72">
      <c r="A72" s="21" t="n"/>
      <c r="C72" s="21" t="n"/>
      <c r="D72" s="20">
        <f>IF(AND($C72="x",$A72&lt;&gt;""),$A72,"")</f>
        <v/>
      </c>
    </row>
    <row r="73">
      <c r="A73" s="21" t="n"/>
      <c r="C73" s="21" t="n"/>
      <c r="D73" s="20">
        <f>IF(AND($C73="x",$A73&lt;&gt;""),$A73,"")</f>
        <v/>
      </c>
    </row>
    <row r="74">
      <c r="A74" s="21" t="n"/>
      <c r="C74" s="21" t="n"/>
      <c r="D74" s="20">
        <f>IF(AND($C74="x",$A74&lt;&gt;""),$A74,"")</f>
        <v/>
      </c>
    </row>
    <row r="75">
      <c r="A75" s="21" t="n"/>
      <c r="C75" s="21" t="n"/>
      <c r="D75" s="20">
        <f>IF(AND($C75="x",$A75&lt;&gt;""),$A75,"")</f>
        <v/>
      </c>
    </row>
    <row r="76">
      <c r="A76" s="21" t="n"/>
      <c r="C76" s="21" t="n"/>
      <c r="D76" s="20">
        <f>IF(AND($C76="x",$A76&lt;&gt;""),$A76,"")</f>
        <v/>
      </c>
    </row>
    <row r="77">
      <c r="A77" s="21" t="n"/>
      <c r="C77" s="21" t="n"/>
      <c r="D77" s="20">
        <f>IF(AND($C77="x",$A77&lt;&gt;""),$A77,"")</f>
        <v/>
      </c>
    </row>
    <row r="78">
      <c r="A78" s="21" t="n"/>
      <c r="C78" s="21" t="n"/>
      <c r="D78" s="20">
        <f>IF(AND($C78="x",$A78&lt;&gt;""),$A78,"")</f>
        <v/>
      </c>
    </row>
    <row r="79">
      <c r="A79" s="21" t="n"/>
      <c r="C79" s="21" t="n"/>
      <c r="D79" s="20">
        <f>IF(AND($C79="x",$A79&lt;&gt;""),$A79,"")</f>
        <v/>
      </c>
    </row>
    <row r="80">
      <c r="A80" s="21" t="n"/>
      <c r="C80" s="21" t="n"/>
      <c r="D80" s="20">
        <f>IF(AND($C80="x",$A80&lt;&gt;""),$A80,"")</f>
        <v/>
      </c>
    </row>
  </sheetData>
  <mergeCells count="2">
    <mergeCell ref="A18:C18"/>
    <mergeCell ref="B8:D8"/>
  </mergeCells>
  <dataValidations count="1">
    <dataValidation sqref="C12 C13 C14 C15 C16 C17 C18 C19 C20 C21 C22 C23 C24 C25 C26 C27 C28 C29 C30 C31 C32 C33 C34 C35 C36 C37 C38 C39 C40 C41 C42 C43 C44 C45 C46 C47 C48 C49 C50 C51 C52 C53 C54 C55 C56 C57 C58 C59 C60 C61 C62 C63 C64 C65 C66 C67 C68 C69 C70 C71 C72 C73 C74 C75 C76 C77 C78 C79 C80" showDropDown="0" showInputMessage="0" showErrorMessage="1" allowBlank="1" errorTitle="Alleen x" error="Zet een x om het veld op te nemen, of laat de cel leeg." type="list">
      <formula1>"x"</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80"/>
  <sheetViews>
    <sheetView workbookViewId="0">
      <pane ySplit="11" topLeftCell="A12" activePane="bottomLeft" state="frozen"/>
      <selection pane="bottomLeft" activeCell="A1" sqref="A1"/>
    </sheetView>
  </sheetViews>
  <sheetFormatPr baseColWidth="8" defaultRowHeight="15"/>
  <cols>
    <col width="44" customWidth="1" min="1" max="1"/>
    <col width="62" customWidth="1" min="2" max="2"/>
    <col width="13" customWidth="1" min="3" max="3"/>
    <col hidden="1" width="10" customWidth="1" min="4" max="4"/>
  </cols>
  <sheetData>
    <row r="1">
      <c r="A1" s="13" t="inlineStr">
        <is>
          <t>Windsor-export: Klaviyo</t>
        </is>
      </c>
      <c r="C1" s="14" t="inlineStr">
        <is>
          <t>Status: Alleen bij Klaviyo · E-mail</t>
        </is>
      </c>
    </row>
    <row r="2">
      <c r="A2" s="3" t="inlineStr">
        <is>
          <t>Connector</t>
        </is>
      </c>
      <c r="B2" s="6" t="inlineStr">
        <is>
          <t>klaviyo</t>
        </is>
      </c>
    </row>
    <row r="3">
      <c r="A3" s="3" t="inlineStr">
        <is>
          <t>Account-id (uit Instellingen)</t>
        </is>
      </c>
      <c r="B3" s="15">
        <f>Instellingen!$B$15</f>
        <v/>
      </c>
    </row>
    <row r="4">
      <c r="A4" s="3" t="inlineStr">
        <is>
          <t>Taaknaam (Task name)</t>
        </is>
      </c>
      <c r="B4" s="15">
        <f>"Windsor - Sheets - Klaviyo - "&amp;Instellingen!$B$3</f>
        <v/>
      </c>
    </row>
    <row r="5">
      <c r="A5" s="3" t="inlineStr">
        <is>
          <t>Tabnaam (Sheet Name)</t>
        </is>
      </c>
      <c r="B5" s="15">
        <f>"Klaviyo - "&amp;Instellingen!$B$3&amp;" - windsor.ai"</f>
        <v/>
      </c>
      <c r="C5" s="12" t="inlineStr">
        <is>
          <t>Herkenning in api/_sheetdata.js gaat op bron + niveau in deze naam; hou het voorstel aan.</t>
        </is>
      </c>
    </row>
    <row r="6">
      <c r="A6" s="3" t="inlineStr">
        <is>
          <t>Columns to Match (rows to replace)</t>
        </is>
      </c>
      <c r="B6" s="6" t="inlineStr">
        <is>
          <t>sent_at</t>
        </is>
      </c>
      <c r="C6" s="12" t="inlineStr">
        <is>
          <t>Voorstel; zoals bij de bestaande exports.</t>
        </is>
      </c>
    </row>
    <row r="7">
      <c r="A7" s="3" t="inlineStr">
        <is>
          <t>Schedule</t>
        </is>
      </c>
      <c r="B7" s="6" t="inlineStr">
        <is>
          <t>Daily · 00:00 UTC · Target Cell A1 · Authentication: Google Account</t>
        </is>
      </c>
    </row>
    <row r="8" ht="90" customHeight="1">
      <c r="A8" s="3" t="inlineStr">
        <is>
          <t>Query (gegenereerd — api_key blijft leeg)</t>
        </is>
      </c>
      <c r="B8" s="16">
        <f>"https://connectors.windsor.ai/"&amp;$B$2&amp;"?api_key="&amp;IF(Instellingen!$B$4&lt;&gt;"","&amp;date_preset="&amp;Instellingen!$B$4,"")&amp;"&amp;fields="&amp;_xlfn.TEXTJOIN(",",TRUE,$D$12:$D$80)&amp;IF($B$3&lt;&gt;"","&amp;select_accounts="&amp;$B$3,"")&amp;IF(Instellingen!$B$5&lt;&gt;"","&amp;_field_headers="&amp;Instellingen!$B$5,"")</f>
        <v/>
      </c>
    </row>
    <row r="9">
      <c r="A9" s="3" t="inlineStr">
        <is>
          <t>Aantal velden in de query</t>
        </is>
      </c>
      <c r="B9" s="17">
        <f>COUNTIF($C$12:$C$80,"x")</f>
        <v/>
      </c>
    </row>
    <row r="11">
      <c r="A11" s="8" t="inlineStr">
        <is>
          <t>Veld (Windsor-id)</t>
        </is>
      </c>
      <c r="B11" s="8" t="inlineStr">
        <is>
          <t>Gebruik in het dashboard</t>
        </is>
      </c>
      <c r="C11" s="8" t="inlineStr">
        <is>
          <t>Opnemen (x)</t>
        </is>
      </c>
      <c r="D11" s="8" t="inlineStr">
        <is>
          <t>→ query</t>
        </is>
      </c>
    </row>
    <row r="12">
      <c r="A12" s="9" t="inlineStr">
        <is>
          <t>account_id</t>
        </is>
      </c>
      <c r="B12" s="18" t="inlineStr">
        <is>
          <t>Accountcontrole</t>
        </is>
      </c>
      <c r="C12" s="19" t="inlineStr">
        <is>
          <t>x</t>
        </is>
      </c>
      <c r="D12" s="20">
        <f>IF(AND($C12="x",$A12&lt;&gt;""),$A12,"")</f>
        <v/>
      </c>
    </row>
    <row r="13">
      <c r="A13" s="9" t="inlineStr">
        <is>
          <t>account_name</t>
        </is>
      </c>
      <c r="B13" s="18" t="inlineStr">
        <is>
          <t>Idem</t>
        </is>
      </c>
      <c r="C13" s="19" t="inlineStr">
        <is>
          <t>x</t>
        </is>
      </c>
      <c r="D13" s="20">
        <f>IF(AND($C13="x",$A13&lt;&gt;""),$A13,"")</f>
        <v/>
      </c>
    </row>
    <row r="14">
      <c r="A14" s="9" t="inlineStr">
        <is>
          <t>campaign</t>
        </is>
      </c>
      <c r="B14" s="18" t="inlineStr">
        <is>
          <t>Campagnenaam</t>
        </is>
      </c>
      <c r="C14" s="19" t="inlineStr">
        <is>
          <t>x</t>
        </is>
      </c>
      <c r="D14" s="20">
        <f>IF(AND($C14="x",$A14&lt;&gt;""),$A14,"")</f>
        <v/>
      </c>
    </row>
    <row r="15">
      <c r="A15" s="9" t="inlineStr">
        <is>
          <t>campaign_id</t>
        </is>
      </c>
      <c r="B15" s="18" t="inlineStr">
        <is>
          <t>Id</t>
        </is>
      </c>
      <c r="C15" s="19" t="inlineStr">
        <is>
          <t>x</t>
        </is>
      </c>
      <c r="D15" s="20">
        <f>IF(AND($C15="x",$A15&lt;&gt;""),$A15,"")</f>
        <v/>
      </c>
    </row>
    <row r="16">
      <c r="A16" s="9" t="inlineStr">
        <is>
          <t>sent_at</t>
        </is>
      </c>
      <c r="B16" s="18" t="inlineStr">
        <is>
          <t>Verzenddatum (datumkolom)</t>
        </is>
      </c>
      <c r="C16" s="19" t="inlineStr">
        <is>
          <t>x</t>
        </is>
      </c>
      <c r="D16" s="20">
        <f>IF(AND($C16="x",$A16&lt;&gt;""),$A16,"")</f>
        <v/>
      </c>
    </row>
    <row r="17">
      <c r="A17" s="9" t="inlineStr">
        <is>
          <t>campaign_report_recipients</t>
        </is>
      </c>
      <c r="B17" s="18" t="inlineStr">
        <is>
          <t>Ontvangers</t>
        </is>
      </c>
      <c r="C17" s="19" t="inlineStr">
        <is>
          <t>x</t>
        </is>
      </c>
      <c r="D17" s="20">
        <f>IF(AND($C17="x",$A17&lt;&gt;""),$A17,"")</f>
        <v/>
      </c>
    </row>
    <row r="18">
      <c r="A18" s="9" t="inlineStr">
        <is>
          <t>campaign_report_open_rate</t>
        </is>
      </c>
      <c r="B18" s="18" t="inlineStr">
        <is>
          <t>Open rate</t>
        </is>
      </c>
      <c r="C18" s="19" t="inlineStr">
        <is>
          <t>x</t>
        </is>
      </c>
      <c r="D18" s="20">
        <f>IF(AND($C18="x",$A18&lt;&gt;""),$A18,"")</f>
        <v/>
      </c>
    </row>
    <row r="19">
      <c r="A19" s="9" t="inlineStr">
        <is>
          <t>campaign_report_click_rate</t>
        </is>
      </c>
      <c r="B19" s="18" t="inlineStr">
        <is>
          <t>Click rate</t>
        </is>
      </c>
      <c r="C19" s="19" t="inlineStr">
        <is>
          <t>x</t>
        </is>
      </c>
      <c r="D19" s="20">
        <f>IF(AND($C19="x",$A19&lt;&gt;""),$A19,"")</f>
        <v/>
      </c>
    </row>
    <row r="20">
      <c r="A20" s="9" t="inlineStr">
        <is>
          <t>campaign_report_click_to_open_rate</t>
        </is>
      </c>
      <c r="B20" s="18" t="inlineStr">
        <is>
          <t>Click-to-open</t>
        </is>
      </c>
      <c r="C20" s="19" t="inlineStr">
        <is>
          <t>x</t>
        </is>
      </c>
      <c r="D20" s="20">
        <f>IF(AND($C20="x",$A20&lt;&gt;""),$A20,"")</f>
        <v/>
      </c>
    </row>
    <row r="21">
      <c r="A21" s="9" t="inlineStr">
        <is>
          <t>campaign_report_conversions</t>
        </is>
      </c>
      <c r="B21" s="18" t="inlineStr">
        <is>
          <t>Conversies</t>
        </is>
      </c>
      <c r="C21" s="19" t="inlineStr">
        <is>
          <t>x</t>
        </is>
      </c>
      <c r="D21" s="20">
        <f>IF(AND($C21="x",$A21&lt;&gt;""),$A21,"")</f>
        <v/>
      </c>
    </row>
    <row r="22">
      <c r="A22" s="9" t="inlineStr">
        <is>
          <t>campaign_report_conversion_value</t>
        </is>
      </c>
      <c r="B22" s="18" t="inlineStr">
        <is>
          <t>Conversiewaarde</t>
        </is>
      </c>
      <c r="C22" s="19" t="inlineStr">
        <is>
          <t>x</t>
        </is>
      </c>
      <c r="D22" s="20">
        <f>IF(AND($C22="x",$A22&lt;&gt;""),$A22,"")</f>
        <v/>
      </c>
    </row>
    <row r="23">
      <c r="A23" s="9" t="inlineStr">
        <is>
          <t>campaign_report_revenue_per_recipient</t>
        </is>
      </c>
      <c r="B23" s="18" t="inlineStr">
        <is>
          <t>Omzet per ontvanger</t>
        </is>
      </c>
      <c r="C23" s="19" t="inlineStr">
        <is>
          <t>x</t>
        </is>
      </c>
      <c r="D23" s="20">
        <f>IF(AND($C23="x",$A23&lt;&gt;""),$A23,"")</f>
        <v/>
      </c>
    </row>
    <row r="24">
      <c r="A24" s="9" t="inlineStr">
        <is>
          <t>campaign_report_unsubscribe_rate</t>
        </is>
      </c>
      <c r="B24" s="18" t="inlineStr">
        <is>
          <t>Uitschrijvingen</t>
        </is>
      </c>
      <c r="C24" s="19" t="inlineStr">
        <is>
          <t>x</t>
        </is>
      </c>
      <c r="D24" s="20">
        <f>IF(AND($C24="x",$A24&lt;&gt;""),$A24,"")</f>
        <v/>
      </c>
    </row>
    <row r="25">
      <c r="A25" s="9" t="inlineStr">
        <is>
          <t>campaign_report_bounce_rate</t>
        </is>
      </c>
      <c r="B25" s="18" t="inlineStr">
        <is>
          <t>Bounces</t>
        </is>
      </c>
      <c r="C25" s="19" t="inlineStr">
        <is>
          <t>x</t>
        </is>
      </c>
      <c r="D25" s="20">
        <f>IF(AND($C25="x",$A25&lt;&gt;""),$A25,"")</f>
        <v/>
      </c>
    </row>
    <row r="26">
      <c r="A26" s="14" t="inlineStr">
        <is>
          <t>Eigen veld toevoegen: zet hieronder het Windsor-veld-id in kolom A en een x in kolom C (tot rij 80).</t>
        </is>
      </c>
    </row>
    <row r="27">
      <c r="A27" s="21" t="n"/>
      <c r="C27" s="21" t="n"/>
      <c r="D27" s="20">
        <f>IF(AND($C27="x",$A27&lt;&gt;""),$A27,"")</f>
        <v/>
      </c>
    </row>
    <row r="28">
      <c r="A28" s="21" t="n"/>
      <c r="C28" s="21" t="n"/>
      <c r="D28" s="20">
        <f>IF(AND($C28="x",$A28&lt;&gt;""),$A28,"")</f>
        <v/>
      </c>
    </row>
    <row r="29">
      <c r="A29" s="21" t="n"/>
      <c r="C29" s="21" t="n"/>
      <c r="D29" s="20">
        <f>IF(AND($C29="x",$A29&lt;&gt;""),$A29,"")</f>
        <v/>
      </c>
    </row>
    <row r="30">
      <c r="A30" s="21" t="n"/>
      <c r="C30" s="21" t="n"/>
      <c r="D30" s="20">
        <f>IF(AND($C30="x",$A30&lt;&gt;""),$A30,"")</f>
        <v/>
      </c>
    </row>
    <row r="31">
      <c r="A31" s="21" t="n"/>
      <c r="C31" s="21" t="n"/>
      <c r="D31" s="20">
        <f>IF(AND($C31="x",$A31&lt;&gt;""),$A31,"")</f>
        <v/>
      </c>
    </row>
    <row r="32">
      <c r="A32" s="21" t="n"/>
      <c r="C32" s="21" t="n"/>
      <c r="D32" s="20">
        <f>IF(AND($C32="x",$A32&lt;&gt;""),$A32,"")</f>
        <v/>
      </c>
    </row>
    <row r="33">
      <c r="A33" s="21" t="n"/>
      <c r="C33" s="21" t="n"/>
      <c r="D33" s="20">
        <f>IF(AND($C33="x",$A33&lt;&gt;""),$A33,"")</f>
        <v/>
      </c>
    </row>
    <row r="34">
      <c r="A34" s="21" t="n"/>
      <c r="C34" s="21" t="n"/>
      <c r="D34" s="20">
        <f>IF(AND($C34="x",$A34&lt;&gt;""),$A34,"")</f>
        <v/>
      </c>
    </row>
    <row r="35">
      <c r="A35" s="21" t="n"/>
      <c r="C35" s="21" t="n"/>
      <c r="D35" s="20">
        <f>IF(AND($C35="x",$A35&lt;&gt;""),$A35,"")</f>
        <v/>
      </c>
    </row>
    <row r="36">
      <c r="A36" s="21" t="n"/>
      <c r="C36" s="21" t="n"/>
      <c r="D36" s="20">
        <f>IF(AND($C36="x",$A36&lt;&gt;""),$A36,"")</f>
        <v/>
      </c>
    </row>
    <row r="37">
      <c r="A37" s="21" t="n"/>
      <c r="C37" s="21" t="n"/>
      <c r="D37" s="20">
        <f>IF(AND($C37="x",$A37&lt;&gt;""),$A37,"")</f>
        <v/>
      </c>
    </row>
    <row r="38">
      <c r="A38" s="21" t="n"/>
      <c r="C38" s="21" t="n"/>
      <c r="D38" s="20">
        <f>IF(AND($C38="x",$A38&lt;&gt;""),$A38,"")</f>
        <v/>
      </c>
    </row>
    <row r="39">
      <c r="A39" s="21" t="n"/>
      <c r="C39" s="21" t="n"/>
      <c r="D39" s="20">
        <f>IF(AND($C39="x",$A39&lt;&gt;""),$A39,"")</f>
        <v/>
      </c>
    </row>
    <row r="40">
      <c r="A40" s="21" t="n"/>
      <c r="C40" s="21" t="n"/>
      <c r="D40" s="20">
        <f>IF(AND($C40="x",$A40&lt;&gt;""),$A40,"")</f>
        <v/>
      </c>
    </row>
    <row r="41">
      <c r="A41" s="21" t="n"/>
      <c r="C41" s="21" t="n"/>
      <c r="D41" s="20">
        <f>IF(AND($C41="x",$A41&lt;&gt;""),$A41,"")</f>
        <v/>
      </c>
    </row>
    <row r="42">
      <c r="A42" s="21" t="n"/>
      <c r="C42" s="21" t="n"/>
      <c r="D42" s="20">
        <f>IF(AND($C42="x",$A42&lt;&gt;""),$A42,"")</f>
        <v/>
      </c>
    </row>
    <row r="43">
      <c r="A43" s="21" t="n"/>
      <c r="C43" s="21" t="n"/>
      <c r="D43" s="20">
        <f>IF(AND($C43="x",$A43&lt;&gt;""),$A43,"")</f>
        <v/>
      </c>
    </row>
    <row r="44">
      <c r="A44" s="21" t="n"/>
      <c r="C44" s="21" t="n"/>
      <c r="D44" s="20">
        <f>IF(AND($C44="x",$A44&lt;&gt;""),$A44,"")</f>
        <v/>
      </c>
    </row>
    <row r="45">
      <c r="A45" s="21" t="n"/>
      <c r="C45" s="21" t="n"/>
      <c r="D45" s="20">
        <f>IF(AND($C45="x",$A45&lt;&gt;""),$A45,"")</f>
        <v/>
      </c>
    </row>
    <row r="46">
      <c r="A46" s="21" t="n"/>
      <c r="C46" s="21" t="n"/>
      <c r="D46" s="20">
        <f>IF(AND($C46="x",$A46&lt;&gt;""),$A46,"")</f>
        <v/>
      </c>
    </row>
    <row r="47">
      <c r="A47" s="21" t="n"/>
      <c r="C47" s="21" t="n"/>
      <c r="D47" s="20">
        <f>IF(AND($C47="x",$A47&lt;&gt;""),$A47,"")</f>
        <v/>
      </c>
    </row>
    <row r="48">
      <c r="A48" s="21" t="n"/>
      <c r="C48" s="21" t="n"/>
      <c r="D48" s="20">
        <f>IF(AND($C48="x",$A48&lt;&gt;""),$A48,"")</f>
        <v/>
      </c>
    </row>
    <row r="49">
      <c r="A49" s="21" t="n"/>
      <c r="C49" s="21" t="n"/>
      <c r="D49" s="20">
        <f>IF(AND($C49="x",$A49&lt;&gt;""),$A49,"")</f>
        <v/>
      </c>
    </row>
    <row r="50">
      <c r="A50" s="21" t="n"/>
      <c r="C50" s="21" t="n"/>
      <c r="D50" s="20">
        <f>IF(AND($C50="x",$A50&lt;&gt;""),$A50,"")</f>
        <v/>
      </c>
    </row>
    <row r="51">
      <c r="A51" s="21" t="n"/>
      <c r="C51" s="21" t="n"/>
      <c r="D51" s="20">
        <f>IF(AND($C51="x",$A51&lt;&gt;""),$A51,"")</f>
        <v/>
      </c>
    </row>
    <row r="52">
      <c r="A52" s="21" t="n"/>
      <c r="C52" s="21" t="n"/>
      <c r="D52" s="20">
        <f>IF(AND($C52="x",$A52&lt;&gt;""),$A52,"")</f>
        <v/>
      </c>
    </row>
    <row r="53">
      <c r="A53" s="21" t="n"/>
      <c r="C53" s="21" t="n"/>
      <c r="D53" s="20">
        <f>IF(AND($C53="x",$A53&lt;&gt;""),$A53,"")</f>
        <v/>
      </c>
    </row>
    <row r="54">
      <c r="A54" s="21" t="n"/>
      <c r="C54" s="21" t="n"/>
      <c r="D54" s="20">
        <f>IF(AND($C54="x",$A54&lt;&gt;""),$A54,"")</f>
        <v/>
      </c>
    </row>
    <row r="55">
      <c r="A55" s="21" t="n"/>
      <c r="C55" s="21" t="n"/>
      <c r="D55" s="20">
        <f>IF(AND($C55="x",$A55&lt;&gt;""),$A55,"")</f>
        <v/>
      </c>
    </row>
    <row r="56">
      <c r="A56" s="21" t="n"/>
      <c r="C56" s="21" t="n"/>
      <c r="D56" s="20">
        <f>IF(AND($C56="x",$A56&lt;&gt;""),$A56,"")</f>
        <v/>
      </c>
    </row>
    <row r="57">
      <c r="A57" s="21" t="n"/>
      <c r="C57" s="21" t="n"/>
      <c r="D57" s="20">
        <f>IF(AND($C57="x",$A57&lt;&gt;""),$A57,"")</f>
        <v/>
      </c>
    </row>
    <row r="58">
      <c r="A58" s="21" t="n"/>
      <c r="C58" s="21" t="n"/>
      <c r="D58" s="20">
        <f>IF(AND($C58="x",$A58&lt;&gt;""),$A58,"")</f>
        <v/>
      </c>
    </row>
    <row r="59">
      <c r="A59" s="21" t="n"/>
      <c r="C59" s="21" t="n"/>
      <c r="D59" s="20">
        <f>IF(AND($C59="x",$A59&lt;&gt;""),$A59,"")</f>
        <v/>
      </c>
    </row>
    <row r="60">
      <c r="A60" s="21" t="n"/>
      <c r="C60" s="21" t="n"/>
      <c r="D60" s="20">
        <f>IF(AND($C60="x",$A60&lt;&gt;""),$A60,"")</f>
        <v/>
      </c>
    </row>
    <row r="61">
      <c r="A61" s="21" t="n"/>
      <c r="C61" s="21" t="n"/>
      <c r="D61" s="20">
        <f>IF(AND($C61="x",$A61&lt;&gt;""),$A61,"")</f>
        <v/>
      </c>
    </row>
    <row r="62">
      <c r="A62" s="21" t="n"/>
      <c r="C62" s="21" t="n"/>
      <c r="D62" s="20">
        <f>IF(AND($C62="x",$A62&lt;&gt;""),$A62,"")</f>
        <v/>
      </c>
    </row>
    <row r="63">
      <c r="A63" s="21" t="n"/>
      <c r="C63" s="21" t="n"/>
      <c r="D63" s="20">
        <f>IF(AND($C63="x",$A63&lt;&gt;""),$A63,"")</f>
        <v/>
      </c>
    </row>
    <row r="64">
      <c r="A64" s="21" t="n"/>
      <c r="C64" s="21" t="n"/>
      <c r="D64" s="20">
        <f>IF(AND($C64="x",$A64&lt;&gt;""),$A64,"")</f>
        <v/>
      </c>
    </row>
    <row r="65">
      <c r="A65" s="21" t="n"/>
      <c r="C65" s="21" t="n"/>
      <c r="D65" s="20">
        <f>IF(AND($C65="x",$A65&lt;&gt;""),$A65,"")</f>
        <v/>
      </c>
    </row>
    <row r="66">
      <c r="A66" s="21" t="n"/>
      <c r="C66" s="21" t="n"/>
      <c r="D66" s="20">
        <f>IF(AND($C66="x",$A66&lt;&gt;""),$A66,"")</f>
        <v/>
      </c>
    </row>
    <row r="67">
      <c r="A67" s="21" t="n"/>
      <c r="C67" s="21" t="n"/>
      <c r="D67" s="20">
        <f>IF(AND($C67="x",$A67&lt;&gt;""),$A67,"")</f>
        <v/>
      </c>
    </row>
    <row r="68">
      <c r="A68" s="21" t="n"/>
      <c r="C68" s="21" t="n"/>
      <c r="D68" s="20">
        <f>IF(AND($C68="x",$A68&lt;&gt;""),$A68,"")</f>
        <v/>
      </c>
    </row>
    <row r="69">
      <c r="A69" s="21" t="n"/>
      <c r="C69" s="21" t="n"/>
      <c r="D69" s="20">
        <f>IF(AND($C69="x",$A69&lt;&gt;""),$A69,"")</f>
        <v/>
      </c>
    </row>
    <row r="70">
      <c r="A70" s="21" t="n"/>
      <c r="C70" s="21" t="n"/>
      <c r="D70" s="20">
        <f>IF(AND($C70="x",$A70&lt;&gt;""),$A70,"")</f>
        <v/>
      </c>
    </row>
    <row r="71">
      <c r="A71" s="21" t="n"/>
      <c r="C71" s="21" t="n"/>
      <c r="D71" s="20">
        <f>IF(AND($C71="x",$A71&lt;&gt;""),$A71,"")</f>
        <v/>
      </c>
    </row>
    <row r="72">
      <c r="A72" s="21" t="n"/>
      <c r="C72" s="21" t="n"/>
      <c r="D72" s="20">
        <f>IF(AND($C72="x",$A72&lt;&gt;""),$A72,"")</f>
        <v/>
      </c>
    </row>
    <row r="73">
      <c r="A73" s="21" t="n"/>
      <c r="C73" s="21" t="n"/>
      <c r="D73" s="20">
        <f>IF(AND($C73="x",$A73&lt;&gt;""),$A73,"")</f>
        <v/>
      </c>
    </row>
    <row r="74">
      <c r="A74" s="21" t="n"/>
      <c r="C74" s="21" t="n"/>
      <c r="D74" s="20">
        <f>IF(AND($C74="x",$A74&lt;&gt;""),$A74,"")</f>
        <v/>
      </c>
    </row>
    <row r="75">
      <c r="A75" s="21" t="n"/>
      <c r="C75" s="21" t="n"/>
      <c r="D75" s="20">
        <f>IF(AND($C75="x",$A75&lt;&gt;""),$A75,"")</f>
        <v/>
      </c>
    </row>
    <row r="76">
      <c r="A76" s="21" t="n"/>
      <c r="C76" s="21" t="n"/>
      <c r="D76" s="20">
        <f>IF(AND($C76="x",$A76&lt;&gt;""),$A76,"")</f>
        <v/>
      </c>
    </row>
    <row r="77">
      <c r="A77" s="21" t="n"/>
      <c r="C77" s="21" t="n"/>
      <c r="D77" s="20">
        <f>IF(AND($C77="x",$A77&lt;&gt;""),$A77,"")</f>
        <v/>
      </c>
    </row>
    <row r="78">
      <c r="A78" s="21" t="n"/>
      <c r="C78" s="21" t="n"/>
      <c r="D78" s="20">
        <f>IF(AND($C78="x",$A78&lt;&gt;""),$A78,"")</f>
        <v/>
      </c>
    </row>
    <row r="79">
      <c r="A79" s="21" t="n"/>
      <c r="C79" s="21" t="n"/>
      <c r="D79" s="20">
        <f>IF(AND($C79="x",$A79&lt;&gt;""),$A79,"")</f>
        <v/>
      </c>
    </row>
    <row r="80">
      <c r="A80" s="21" t="n"/>
      <c r="C80" s="21" t="n"/>
      <c r="D80" s="20">
        <f>IF(AND($C80="x",$A80&lt;&gt;""),$A80,"")</f>
        <v/>
      </c>
    </row>
  </sheetData>
  <mergeCells count="2">
    <mergeCell ref="A26:C26"/>
    <mergeCell ref="B8:D8"/>
  </mergeCells>
  <dataValidations count="1">
    <dataValidation sqref="C12 C13 C14 C15 C16 C17 C18 C19 C20 C21 C22 C23 C24 C25 C26 C27 C28 C29 C30 C31 C32 C33 C34 C35 C36 C37 C38 C39 C40 C41 C42 C43 C44 C45 C46 C47 C48 C49 C50 C51 C52 C53 C54 C55 C56 C57 C58 C59 C60 C61 C62 C63 C64 C65 C66 C67 C68 C69 C70 C71 C72 C73 C74 C75 C76 C77 C78 C79 C80" showDropDown="0" showInputMessage="0" showErrorMessage="1" allowBlank="1" errorTitle="Alleen x" error="Zet een x om het veld op te nemen, of laat de cel leeg." type="list">
      <formula1>"x"</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80"/>
  <sheetViews>
    <sheetView workbookViewId="0">
      <pane ySplit="11" topLeftCell="A12" activePane="bottomLeft" state="frozen"/>
      <selection pane="bottomLeft" activeCell="A1" sqref="A1"/>
    </sheetView>
  </sheetViews>
  <sheetFormatPr baseColWidth="8" defaultRowHeight="15"/>
  <cols>
    <col width="44" customWidth="1" min="1" max="1"/>
    <col width="62" customWidth="1" min="2" max="2"/>
    <col width="13" customWidth="1" min="3" max="3"/>
    <col hidden="1" width="10" customWidth="1" min="4" max="4"/>
  </cols>
  <sheetData>
    <row r="1">
      <c r="A1" s="13" t="inlineStr">
        <is>
          <t>Windsor-export: Mailerlite</t>
        </is>
      </c>
      <c r="C1" s="14" t="inlineStr">
        <is>
          <t>Status: Alleen bij Mailerlite · E-mail</t>
        </is>
      </c>
    </row>
    <row r="2">
      <c r="A2" s="3" t="inlineStr">
        <is>
          <t>Connector</t>
        </is>
      </c>
      <c r="B2" s="6" t="inlineStr">
        <is>
          <t>mailerlite</t>
        </is>
      </c>
    </row>
    <row r="3">
      <c r="A3" s="3" t="inlineStr">
        <is>
          <t>Account-id (uit Instellingen)</t>
        </is>
      </c>
      <c r="B3" s="15">
        <f>Instellingen!$B$16</f>
        <v/>
      </c>
    </row>
    <row r="4">
      <c r="A4" s="3" t="inlineStr">
        <is>
          <t>Taaknaam (Task name)</t>
        </is>
      </c>
      <c r="B4" s="15">
        <f>"Windsor - Sheets - Mailerlite - "&amp;Instellingen!$B$3</f>
        <v/>
      </c>
    </row>
    <row r="5">
      <c r="A5" s="3" t="inlineStr">
        <is>
          <t>Tabnaam (Sheet Name)</t>
        </is>
      </c>
      <c r="B5" s="15">
        <f>"Mailerlite - "&amp;Instellingen!$B$3&amp;" - windsor.ai"</f>
        <v/>
      </c>
      <c r="C5" s="12" t="inlineStr">
        <is>
          <t>Herkenning in api/_sheetdata.js gaat op bron + niveau in deze naam; hou het voorstel aan.</t>
        </is>
      </c>
    </row>
    <row r="6">
      <c r="A6" s="3" t="inlineStr">
        <is>
          <t>Columns to Match (rows to replace)</t>
        </is>
      </c>
      <c r="B6" s="6" t="inlineStr">
        <is>
          <t>campaigns__created_at</t>
        </is>
      </c>
      <c r="C6" s="12" t="inlineStr">
        <is>
          <t>Voorstel; zoals bij de bestaande exports.</t>
        </is>
      </c>
    </row>
    <row r="7">
      <c r="A7" s="3" t="inlineStr">
        <is>
          <t>Schedule</t>
        </is>
      </c>
      <c r="B7" s="6" t="inlineStr">
        <is>
          <t>Daily · 00:00 UTC · Target Cell A1 · Authentication: Google Account</t>
        </is>
      </c>
    </row>
    <row r="8" ht="90" customHeight="1">
      <c r="A8" s="3" t="inlineStr">
        <is>
          <t>Query (gegenereerd — api_key blijft leeg)</t>
        </is>
      </c>
      <c r="B8" s="16">
        <f>"https://connectors.windsor.ai/"&amp;$B$2&amp;"?api_key="&amp;IF(Instellingen!$B$4&lt;&gt;"","&amp;date_preset="&amp;Instellingen!$B$4,"")&amp;"&amp;fields="&amp;_xlfn.TEXTJOIN(",",TRUE,$D$12:$D$80)&amp;IF($B$3&lt;&gt;"","&amp;select_accounts="&amp;$B$3,"")&amp;IF(Instellingen!$B$5&lt;&gt;"","&amp;_field_headers="&amp;Instellingen!$B$5,"")</f>
        <v/>
      </c>
    </row>
    <row r="9">
      <c r="A9" s="3" t="inlineStr">
        <is>
          <t>Aantal velden in de query</t>
        </is>
      </c>
      <c r="B9" s="17">
        <f>COUNTIF($C$12:$C$80,"x")</f>
        <v/>
      </c>
    </row>
    <row r="11">
      <c r="A11" s="8" t="inlineStr">
        <is>
          <t>Veld (Windsor-id)</t>
        </is>
      </c>
      <c r="B11" s="8" t="inlineStr">
        <is>
          <t>Gebruik in het dashboard</t>
        </is>
      </c>
      <c r="C11" s="8" t="inlineStr">
        <is>
          <t>Opnemen (x)</t>
        </is>
      </c>
      <c r="D11" s="8" t="inlineStr">
        <is>
          <t>→ query</t>
        </is>
      </c>
    </row>
    <row r="12">
      <c r="A12" s="9" t="inlineStr">
        <is>
          <t>account_id</t>
        </is>
      </c>
      <c r="B12" s="18" t="inlineStr">
        <is>
          <t>Accountcontrole</t>
        </is>
      </c>
      <c r="C12" s="19" t="inlineStr">
        <is>
          <t>x</t>
        </is>
      </c>
      <c r="D12" s="20">
        <f>IF(AND($C12="x",$A12&lt;&gt;""),$A12,"")</f>
        <v/>
      </c>
    </row>
    <row r="13">
      <c r="A13" s="9" t="inlineStr">
        <is>
          <t>account_name</t>
        </is>
      </c>
      <c r="B13" s="18" t="inlineStr">
        <is>
          <t>Idem</t>
        </is>
      </c>
      <c r="C13" s="19" t="inlineStr">
        <is>
          <t>x</t>
        </is>
      </c>
      <c r="D13" s="20">
        <f>IF(AND($C13="x",$A13&lt;&gt;""),$A13,"")</f>
        <v/>
      </c>
    </row>
    <row r="14">
      <c r="A14" s="9" t="inlineStr">
        <is>
          <t>campaigns__id</t>
        </is>
      </c>
      <c r="B14" s="18" t="inlineStr">
        <is>
          <t>Id</t>
        </is>
      </c>
      <c r="C14" s="19" t="inlineStr">
        <is>
          <t>x</t>
        </is>
      </c>
      <c r="D14" s="20">
        <f>IF(AND($C14="x",$A14&lt;&gt;""),$A14,"")</f>
        <v/>
      </c>
    </row>
    <row r="15">
      <c r="A15" s="9" t="inlineStr">
        <is>
          <t>campaigns__name</t>
        </is>
      </c>
      <c r="B15" s="18" t="inlineStr">
        <is>
          <t>Naam</t>
        </is>
      </c>
      <c r="C15" s="19" t="inlineStr">
        <is>
          <t>x</t>
        </is>
      </c>
      <c r="D15" s="20">
        <f>IF(AND($C15="x",$A15&lt;&gt;""),$A15,"")</f>
        <v/>
      </c>
    </row>
    <row r="16">
      <c r="A16" s="9" t="inlineStr">
        <is>
          <t>campaigns__finished_at</t>
        </is>
      </c>
      <c r="B16" s="18" t="inlineStr">
        <is>
          <t>Verzonden</t>
        </is>
      </c>
      <c r="C16" s="19" t="inlineStr">
        <is>
          <t>x</t>
        </is>
      </c>
      <c r="D16" s="20">
        <f>IF(AND($C16="x",$A16&lt;&gt;""),$A16,"")</f>
        <v/>
      </c>
    </row>
    <row r="17">
      <c r="A17" s="9" t="inlineStr">
        <is>
          <t>campaigns__created_at</t>
        </is>
      </c>
      <c r="B17" s="18" t="inlineStr">
        <is>
          <t>Aangemaakt (datumkolom)</t>
        </is>
      </c>
      <c r="C17" s="19" t="inlineStr">
        <is>
          <t>x</t>
        </is>
      </c>
      <c r="D17" s="20">
        <f>IF(AND($C17="x",$A17&lt;&gt;""),$A17,"")</f>
        <v/>
      </c>
    </row>
    <row r="18">
      <c r="A18" s="9" t="inlineStr">
        <is>
          <t>campaigns__status</t>
        </is>
      </c>
      <c r="B18" s="18" t="inlineStr">
        <is>
          <t>Status</t>
        </is>
      </c>
      <c r="C18" s="19" t="inlineStr">
        <is>
          <t>x</t>
        </is>
      </c>
      <c r="D18" s="20">
        <f>IF(AND($C18="x",$A18&lt;&gt;""),$A18,"")</f>
        <v/>
      </c>
    </row>
    <row r="19">
      <c r="A19" s="9" t="inlineStr">
        <is>
          <t>campaigns__stats</t>
        </is>
      </c>
      <c r="B19" s="18" t="inlineStr">
        <is>
          <t>Statistieken (genest object)</t>
        </is>
      </c>
      <c r="C19" s="19" t="inlineStr">
        <is>
          <t>x</t>
        </is>
      </c>
      <c r="D19" s="20">
        <f>IF(AND($C19="x",$A19&lt;&gt;""),$A19,"")</f>
        <v/>
      </c>
    </row>
    <row r="20">
      <c r="A20" s="14" t="inlineStr">
        <is>
          <t>Eigen veld toevoegen: zet hieronder het Windsor-veld-id in kolom A en een x in kolom C (tot rij 80).</t>
        </is>
      </c>
    </row>
    <row r="21">
      <c r="A21" s="21" t="n"/>
      <c r="C21" s="21" t="n"/>
      <c r="D21" s="20">
        <f>IF(AND($C21="x",$A21&lt;&gt;""),$A21,"")</f>
        <v/>
      </c>
    </row>
    <row r="22">
      <c r="A22" s="21" t="n"/>
      <c r="C22" s="21" t="n"/>
      <c r="D22" s="20">
        <f>IF(AND($C22="x",$A22&lt;&gt;""),$A22,"")</f>
        <v/>
      </c>
    </row>
    <row r="23">
      <c r="A23" s="21" t="n"/>
      <c r="C23" s="21" t="n"/>
      <c r="D23" s="20">
        <f>IF(AND($C23="x",$A23&lt;&gt;""),$A23,"")</f>
        <v/>
      </c>
    </row>
    <row r="24">
      <c r="A24" s="21" t="n"/>
      <c r="C24" s="21" t="n"/>
      <c r="D24" s="20">
        <f>IF(AND($C24="x",$A24&lt;&gt;""),$A24,"")</f>
        <v/>
      </c>
    </row>
    <row r="25">
      <c r="A25" s="21" t="n"/>
      <c r="C25" s="21" t="n"/>
      <c r="D25" s="20">
        <f>IF(AND($C25="x",$A25&lt;&gt;""),$A25,"")</f>
        <v/>
      </c>
    </row>
    <row r="26">
      <c r="A26" s="21" t="n"/>
      <c r="C26" s="21" t="n"/>
      <c r="D26" s="20">
        <f>IF(AND($C26="x",$A26&lt;&gt;""),$A26,"")</f>
        <v/>
      </c>
    </row>
    <row r="27">
      <c r="A27" s="21" t="n"/>
      <c r="C27" s="21" t="n"/>
      <c r="D27" s="20">
        <f>IF(AND($C27="x",$A27&lt;&gt;""),$A27,"")</f>
        <v/>
      </c>
    </row>
    <row r="28">
      <c r="A28" s="21" t="n"/>
      <c r="C28" s="21" t="n"/>
      <c r="D28" s="20">
        <f>IF(AND($C28="x",$A28&lt;&gt;""),$A28,"")</f>
        <v/>
      </c>
    </row>
    <row r="29">
      <c r="A29" s="21" t="n"/>
      <c r="C29" s="21" t="n"/>
      <c r="D29" s="20">
        <f>IF(AND($C29="x",$A29&lt;&gt;""),$A29,"")</f>
        <v/>
      </c>
    </row>
    <row r="30">
      <c r="A30" s="21" t="n"/>
      <c r="C30" s="21" t="n"/>
      <c r="D30" s="20">
        <f>IF(AND($C30="x",$A30&lt;&gt;""),$A30,"")</f>
        <v/>
      </c>
    </row>
    <row r="31">
      <c r="A31" s="21" t="n"/>
      <c r="C31" s="21" t="n"/>
      <c r="D31" s="20">
        <f>IF(AND($C31="x",$A31&lt;&gt;""),$A31,"")</f>
        <v/>
      </c>
    </row>
    <row r="32">
      <c r="A32" s="21" t="n"/>
      <c r="C32" s="21" t="n"/>
      <c r="D32" s="20">
        <f>IF(AND($C32="x",$A32&lt;&gt;""),$A32,"")</f>
        <v/>
      </c>
    </row>
    <row r="33">
      <c r="A33" s="21" t="n"/>
      <c r="C33" s="21" t="n"/>
      <c r="D33" s="20">
        <f>IF(AND($C33="x",$A33&lt;&gt;""),$A33,"")</f>
        <v/>
      </c>
    </row>
    <row r="34">
      <c r="A34" s="21" t="n"/>
      <c r="C34" s="21" t="n"/>
      <c r="D34" s="20">
        <f>IF(AND($C34="x",$A34&lt;&gt;""),$A34,"")</f>
        <v/>
      </c>
    </row>
    <row r="35">
      <c r="A35" s="21" t="n"/>
      <c r="C35" s="21" t="n"/>
      <c r="D35" s="20">
        <f>IF(AND($C35="x",$A35&lt;&gt;""),$A35,"")</f>
        <v/>
      </c>
    </row>
    <row r="36">
      <c r="A36" s="21" t="n"/>
      <c r="C36" s="21" t="n"/>
      <c r="D36" s="20">
        <f>IF(AND($C36="x",$A36&lt;&gt;""),$A36,"")</f>
        <v/>
      </c>
    </row>
    <row r="37">
      <c r="A37" s="21" t="n"/>
      <c r="C37" s="21" t="n"/>
      <c r="D37" s="20">
        <f>IF(AND($C37="x",$A37&lt;&gt;""),$A37,"")</f>
        <v/>
      </c>
    </row>
    <row r="38">
      <c r="A38" s="21" t="n"/>
      <c r="C38" s="21" t="n"/>
      <c r="D38" s="20">
        <f>IF(AND($C38="x",$A38&lt;&gt;""),$A38,"")</f>
        <v/>
      </c>
    </row>
    <row r="39">
      <c r="A39" s="21" t="n"/>
      <c r="C39" s="21" t="n"/>
      <c r="D39" s="20">
        <f>IF(AND($C39="x",$A39&lt;&gt;""),$A39,"")</f>
        <v/>
      </c>
    </row>
    <row r="40">
      <c r="A40" s="21" t="n"/>
      <c r="C40" s="21" t="n"/>
      <c r="D40" s="20">
        <f>IF(AND($C40="x",$A40&lt;&gt;""),$A40,"")</f>
        <v/>
      </c>
    </row>
    <row r="41">
      <c r="A41" s="21" t="n"/>
      <c r="C41" s="21" t="n"/>
      <c r="D41" s="20">
        <f>IF(AND($C41="x",$A41&lt;&gt;""),$A41,"")</f>
        <v/>
      </c>
    </row>
    <row r="42">
      <c r="A42" s="21" t="n"/>
      <c r="C42" s="21" t="n"/>
      <c r="D42" s="20">
        <f>IF(AND($C42="x",$A42&lt;&gt;""),$A42,"")</f>
        <v/>
      </c>
    </row>
    <row r="43">
      <c r="A43" s="21" t="n"/>
      <c r="C43" s="21" t="n"/>
      <c r="D43" s="20">
        <f>IF(AND($C43="x",$A43&lt;&gt;""),$A43,"")</f>
        <v/>
      </c>
    </row>
    <row r="44">
      <c r="A44" s="21" t="n"/>
      <c r="C44" s="21" t="n"/>
      <c r="D44" s="20">
        <f>IF(AND($C44="x",$A44&lt;&gt;""),$A44,"")</f>
        <v/>
      </c>
    </row>
    <row r="45">
      <c r="A45" s="21" t="n"/>
      <c r="C45" s="21" t="n"/>
      <c r="D45" s="20">
        <f>IF(AND($C45="x",$A45&lt;&gt;""),$A45,"")</f>
        <v/>
      </c>
    </row>
    <row r="46">
      <c r="A46" s="21" t="n"/>
      <c r="C46" s="21" t="n"/>
      <c r="D46" s="20">
        <f>IF(AND($C46="x",$A46&lt;&gt;""),$A46,"")</f>
        <v/>
      </c>
    </row>
    <row r="47">
      <c r="A47" s="21" t="n"/>
      <c r="C47" s="21" t="n"/>
      <c r="D47" s="20">
        <f>IF(AND($C47="x",$A47&lt;&gt;""),$A47,"")</f>
        <v/>
      </c>
    </row>
    <row r="48">
      <c r="A48" s="21" t="n"/>
      <c r="C48" s="21" t="n"/>
      <c r="D48" s="20">
        <f>IF(AND($C48="x",$A48&lt;&gt;""),$A48,"")</f>
        <v/>
      </c>
    </row>
    <row r="49">
      <c r="A49" s="21" t="n"/>
      <c r="C49" s="21" t="n"/>
      <c r="D49" s="20">
        <f>IF(AND($C49="x",$A49&lt;&gt;""),$A49,"")</f>
        <v/>
      </c>
    </row>
    <row r="50">
      <c r="A50" s="21" t="n"/>
      <c r="C50" s="21" t="n"/>
      <c r="D50" s="20">
        <f>IF(AND($C50="x",$A50&lt;&gt;""),$A50,"")</f>
        <v/>
      </c>
    </row>
    <row r="51">
      <c r="A51" s="21" t="n"/>
      <c r="C51" s="21" t="n"/>
      <c r="D51" s="20">
        <f>IF(AND($C51="x",$A51&lt;&gt;""),$A51,"")</f>
        <v/>
      </c>
    </row>
    <row r="52">
      <c r="A52" s="21" t="n"/>
      <c r="C52" s="21" t="n"/>
      <c r="D52" s="20">
        <f>IF(AND($C52="x",$A52&lt;&gt;""),$A52,"")</f>
        <v/>
      </c>
    </row>
    <row r="53">
      <c r="A53" s="21" t="n"/>
      <c r="C53" s="21" t="n"/>
      <c r="D53" s="20">
        <f>IF(AND($C53="x",$A53&lt;&gt;""),$A53,"")</f>
        <v/>
      </c>
    </row>
    <row r="54">
      <c r="A54" s="21" t="n"/>
      <c r="C54" s="21" t="n"/>
      <c r="D54" s="20">
        <f>IF(AND($C54="x",$A54&lt;&gt;""),$A54,"")</f>
        <v/>
      </c>
    </row>
    <row r="55">
      <c r="A55" s="21" t="n"/>
      <c r="C55" s="21" t="n"/>
      <c r="D55" s="20">
        <f>IF(AND($C55="x",$A55&lt;&gt;""),$A55,"")</f>
        <v/>
      </c>
    </row>
    <row r="56">
      <c r="A56" s="21" t="n"/>
      <c r="C56" s="21" t="n"/>
      <c r="D56" s="20">
        <f>IF(AND($C56="x",$A56&lt;&gt;""),$A56,"")</f>
        <v/>
      </c>
    </row>
    <row r="57">
      <c r="A57" s="21" t="n"/>
      <c r="C57" s="21" t="n"/>
      <c r="D57" s="20">
        <f>IF(AND($C57="x",$A57&lt;&gt;""),$A57,"")</f>
        <v/>
      </c>
    </row>
    <row r="58">
      <c r="A58" s="21" t="n"/>
      <c r="C58" s="21" t="n"/>
      <c r="D58" s="20">
        <f>IF(AND($C58="x",$A58&lt;&gt;""),$A58,"")</f>
        <v/>
      </c>
    </row>
    <row r="59">
      <c r="A59" s="21" t="n"/>
      <c r="C59" s="21" t="n"/>
      <c r="D59" s="20">
        <f>IF(AND($C59="x",$A59&lt;&gt;""),$A59,"")</f>
        <v/>
      </c>
    </row>
    <row r="60">
      <c r="A60" s="21" t="n"/>
      <c r="C60" s="21" t="n"/>
      <c r="D60" s="20">
        <f>IF(AND($C60="x",$A60&lt;&gt;""),$A60,"")</f>
        <v/>
      </c>
    </row>
    <row r="61">
      <c r="A61" s="21" t="n"/>
      <c r="C61" s="21" t="n"/>
      <c r="D61" s="20">
        <f>IF(AND($C61="x",$A61&lt;&gt;""),$A61,"")</f>
        <v/>
      </c>
    </row>
    <row r="62">
      <c r="A62" s="21" t="n"/>
      <c r="C62" s="21" t="n"/>
      <c r="D62" s="20">
        <f>IF(AND($C62="x",$A62&lt;&gt;""),$A62,"")</f>
        <v/>
      </c>
    </row>
    <row r="63">
      <c r="A63" s="21" t="n"/>
      <c r="C63" s="21" t="n"/>
      <c r="D63" s="20">
        <f>IF(AND($C63="x",$A63&lt;&gt;""),$A63,"")</f>
        <v/>
      </c>
    </row>
    <row r="64">
      <c r="A64" s="21" t="n"/>
      <c r="C64" s="21" t="n"/>
      <c r="D64" s="20">
        <f>IF(AND($C64="x",$A64&lt;&gt;""),$A64,"")</f>
        <v/>
      </c>
    </row>
    <row r="65">
      <c r="A65" s="21" t="n"/>
      <c r="C65" s="21" t="n"/>
      <c r="D65" s="20">
        <f>IF(AND($C65="x",$A65&lt;&gt;""),$A65,"")</f>
        <v/>
      </c>
    </row>
    <row r="66">
      <c r="A66" s="21" t="n"/>
      <c r="C66" s="21" t="n"/>
      <c r="D66" s="20">
        <f>IF(AND($C66="x",$A66&lt;&gt;""),$A66,"")</f>
        <v/>
      </c>
    </row>
    <row r="67">
      <c r="A67" s="21" t="n"/>
      <c r="C67" s="21" t="n"/>
      <c r="D67" s="20">
        <f>IF(AND($C67="x",$A67&lt;&gt;""),$A67,"")</f>
        <v/>
      </c>
    </row>
    <row r="68">
      <c r="A68" s="21" t="n"/>
      <c r="C68" s="21" t="n"/>
      <c r="D68" s="20">
        <f>IF(AND($C68="x",$A68&lt;&gt;""),$A68,"")</f>
        <v/>
      </c>
    </row>
    <row r="69">
      <c r="A69" s="21" t="n"/>
      <c r="C69" s="21" t="n"/>
      <c r="D69" s="20">
        <f>IF(AND($C69="x",$A69&lt;&gt;""),$A69,"")</f>
        <v/>
      </c>
    </row>
    <row r="70">
      <c r="A70" s="21" t="n"/>
      <c r="C70" s="21" t="n"/>
      <c r="D70" s="20">
        <f>IF(AND($C70="x",$A70&lt;&gt;""),$A70,"")</f>
        <v/>
      </c>
    </row>
    <row r="71">
      <c r="A71" s="21" t="n"/>
      <c r="C71" s="21" t="n"/>
      <c r="D71" s="20">
        <f>IF(AND($C71="x",$A71&lt;&gt;""),$A71,"")</f>
        <v/>
      </c>
    </row>
    <row r="72">
      <c r="A72" s="21" t="n"/>
      <c r="C72" s="21" t="n"/>
      <c r="D72" s="20">
        <f>IF(AND($C72="x",$A72&lt;&gt;""),$A72,"")</f>
        <v/>
      </c>
    </row>
    <row r="73">
      <c r="A73" s="21" t="n"/>
      <c r="C73" s="21" t="n"/>
      <c r="D73" s="20">
        <f>IF(AND($C73="x",$A73&lt;&gt;""),$A73,"")</f>
        <v/>
      </c>
    </row>
    <row r="74">
      <c r="A74" s="21" t="n"/>
      <c r="C74" s="21" t="n"/>
      <c r="D74" s="20">
        <f>IF(AND($C74="x",$A74&lt;&gt;""),$A74,"")</f>
        <v/>
      </c>
    </row>
    <row r="75">
      <c r="A75" s="21" t="n"/>
      <c r="C75" s="21" t="n"/>
      <c r="D75" s="20">
        <f>IF(AND($C75="x",$A75&lt;&gt;""),$A75,"")</f>
        <v/>
      </c>
    </row>
    <row r="76">
      <c r="A76" s="21" t="n"/>
      <c r="C76" s="21" t="n"/>
      <c r="D76" s="20">
        <f>IF(AND($C76="x",$A76&lt;&gt;""),$A76,"")</f>
        <v/>
      </c>
    </row>
    <row r="77">
      <c r="A77" s="21" t="n"/>
      <c r="C77" s="21" t="n"/>
      <c r="D77" s="20">
        <f>IF(AND($C77="x",$A77&lt;&gt;""),$A77,"")</f>
        <v/>
      </c>
    </row>
    <row r="78">
      <c r="A78" s="21" t="n"/>
      <c r="C78" s="21" t="n"/>
      <c r="D78" s="20">
        <f>IF(AND($C78="x",$A78&lt;&gt;""),$A78,"")</f>
        <v/>
      </c>
    </row>
    <row r="79">
      <c r="A79" s="21" t="n"/>
      <c r="C79" s="21" t="n"/>
      <c r="D79" s="20">
        <f>IF(AND($C79="x",$A79&lt;&gt;""),$A79,"")</f>
        <v/>
      </c>
    </row>
    <row r="80">
      <c r="A80" s="21" t="n"/>
      <c r="C80" s="21" t="n"/>
      <c r="D80" s="20">
        <f>IF(AND($C80="x",$A80&lt;&gt;""),$A80,"")</f>
        <v/>
      </c>
    </row>
  </sheetData>
  <mergeCells count="2">
    <mergeCell ref="A20:C20"/>
    <mergeCell ref="B8:D8"/>
  </mergeCells>
  <dataValidations count="1">
    <dataValidation sqref="C12 C13 C14 C15 C16 C17 C18 C19 C20 C21 C22 C23 C24 C25 C26 C27 C28 C29 C30 C31 C32 C33 C34 C35 C36 C37 C38 C39 C40 C41 C42 C43 C44 C45 C46 C47 C48 C49 C50 C51 C52 C53 C54 C55 C56 C57 C58 C59 C60 C61 C62 C63 C64 C65 C66 C67 C68 C69 C70 C71 C72 C73 C74 C75 C76 C77 C78 C79 C80" showDropDown="0" showInputMessage="0" showErrorMessage="1" allowBlank="1" errorTitle="Alleen x" error="Zet een x om het veld op te nemen, of laat de cel leeg." type="list">
      <formula1>"x"</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80"/>
  <sheetViews>
    <sheetView workbookViewId="0">
      <pane ySplit="11" topLeftCell="A12" activePane="bottomLeft" state="frozen"/>
      <selection pane="bottomLeft" activeCell="A1" sqref="A1"/>
    </sheetView>
  </sheetViews>
  <sheetFormatPr baseColWidth="8" defaultRowHeight="15"/>
  <cols>
    <col width="44" customWidth="1" min="1" max="1"/>
    <col width="62" customWidth="1" min="2" max="2"/>
    <col width="13" customWidth="1" min="3" max="3"/>
    <col hidden="1" width="10" customWidth="1" min="4" max="4"/>
  </cols>
  <sheetData>
    <row r="1">
      <c r="A1" s="13" t="inlineStr">
        <is>
          <t>Windsor-export: Convertkit broadcasts</t>
        </is>
      </c>
      <c r="C1" s="14" t="inlineStr">
        <is>
          <t>Status: Alleen bij ConvertKit · E-mail</t>
        </is>
      </c>
    </row>
    <row r="2">
      <c r="A2" s="3" t="inlineStr">
        <is>
          <t>Connector</t>
        </is>
      </c>
      <c r="B2" s="6" t="inlineStr">
        <is>
          <t>convertkit</t>
        </is>
      </c>
    </row>
    <row r="3">
      <c r="A3" s="3" t="inlineStr">
        <is>
          <t>Account-id (uit Instellingen)</t>
        </is>
      </c>
      <c r="B3" s="6" t="inlineStr"/>
      <c r="C3" s="12" t="inlineStr">
        <is>
          <t>Leeg = geen select_accounts in de URL</t>
        </is>
      </c>
    </row>
    <row r="4">
      <c r="A4" s="3" t="inlineStr">
        <is>
          <t>Taaknaam (Task name)</t>
        </is>
      </c>
      <c r="B4" s="15">
        <f>"Windsor - Sheets - Convertkit broadcasts - "&amp;Instellingen!$B$3</f>
        <v/>
      </c>
    </row>
    <row r="5">
      <c r="A5" s="3" t="inlineStr">
        <is>
          <t>Tabnaam (Sheet Name)</t>
        </is>
      </c>
      <c r="B5" s="15">
        <f>"Convertkit - broadcasts - "&amp;Instellingen!$B$3&amp;" - windsor.ai"</f>
        <v/>
      </c>
      <c r="C5" s="12" t="inlineStr">
        <is>
          <t>Herkenning in api/_sheetdata.js gaat op bron + niveau in deze naam; hou het voorstel aan.</t>
        </is>
      </c>
    </row>
    <row r="6">
      <c r="A6" s="3" t="inlineStr">
        <is>
          <t>Columns to Match (rows to replace)</t>
        </is>
      </c>
      <c r="B6" s="6" t="inlineStr">
        <is>
          <t>broadcasts__created_at</t>
        </is>
      </c>
      <c r="C6" s="12" t="inlineStr">
        <is>
          <t>Voorstel; zoals bij de bestaande exports.</t>
        </is>
      </c>
    </row>
    <row r="7">
      <c r="A7" s="3" t="inlineStr">
        <is>
          <t>Schedule</t>
        </is>
      </c>
      <c r="B7" s="6" t="inlineStr">
        <is>
          <t>Daily · 00:00 UTC · Target Cell A1 · Authentication: Google Account</t>
        </is>
      </c>
    </row>
    <row r="8" ht="90" customHeight="1">
      <c r="A8" s="3" t="inlineStr">
        <is>
          <t>Query (gegenereerd — api_key blijft leeg)</t>
        </is>
      </c>
      <c r="B8" s="16">
        <f>"https://connectors.windsor.ai/"&amp;$B$2&amp;"?api_key="&amp;IF(Instellingen!$B$4&lt;&gt;"","&amp;date_preset="&amp;Instellingen!$B$4,"")&amp;"&amp;fields="&amp;_xlfn.TEXTJOIN(",",TRUE,$D$12:$D$80)&amp;IF($B$3&lt;&gt;"","&amp;select_accounts="&amp;$B$3,"")&amp;IF(Instellingen!$B$5&lt;&gt;"","&amp;_field_headers="&amp;Instellingen!$B$5,"")</f>
        <v/>
      </c>
    </row>
    <row r="9">
      <c r="A9" s="3" t="inlineStr">
        <is>
          <t>Aantal velden in de query</t>
        </is>
      </c>
      <c r="B9" s="17">
        <f>COUNTIF($C$12:$C$80,"x")</f>
        <v/>
      </c>
    </row>
    <row r="11">
      <c r="A11" s="8" t="inlineStr">
        <is>
          <t>Veld (Windsor-id)</t>
        </is>
      </c>
      <c r="B11" s="8" t="inlineStr">
        <is>
          <t>Gebruik in het dashboard</t>
        </is>
      </c>
      <c r="C11" s="8" t="inlineStr">
        <is>
          <t>Opnemen (x)</t>
        </is>
      </c>
      <c r="D11" s="8" t="inlineStr">
        <is>
          <t>→ query</t>
        </is>
      </c>
    </row>
    <row r="12">
      <c r="A12" s="9" t="inlineStr">
        <is>
          <t>broadcasts__id</t>
        </is>
      </c>
      <c r="B12" s="18" t="inlineStr">
        <is>
          <t>Id</t>
        </is>
      </c>
      <c r="C12" s="19" t="inlineStr">
        <is>
          <t>x</t>
        </is>
      </c>
      <c r="D12" s="20">
        <f>IF(AND($C12="x",$A12&lt;&gt;""),$A12,"")</f>
        <v/>
      </c>
    </row>
    <row r="13">
      <c r="A13" s="9" t="inlineStr">
        <is>
          <t>broadcasts__subject</t>
        </is>
      </c>
      <c r="B13" s="18" t="inlineStr">
        <is>
          <t>Onderwerp</t>
        </is>
      </c>
      <c r="C13" s="19" t="inlineStr">
        <is>
          <t>x</t>
        </is>
      </c>
      <c r="D13" s="20">
        <f>IF(AND($C13="x",$A13&lt;&gt;""),$A13,"")</f>
        <v/>
      </c>
    </row>
    <row r="14">
      <c r="A14" s="9" t="inlineStr">
        <is>
          <t>broadcasts__created_at</t>
        </is>
      </c>
      <c r="B14" s="18" t="inlineStr">
        <is>
          <t>Aangemaakt (datumkolom)</t>
        </is>
      </c>
      <c r="C14" s="19" t="inlineStr">
        <is>
          <t>x</t>
        </is>
      </c>
      <c r="D14" s="20">
        <f>IF(AND($C14="x",$A14&lt;&gt;""),$A14,"")</f>
        <v/>
      </c>
    </row>
    <row r="15">
      <c r="A15" s="14" t="inlineStr">
        <is>
          <t>Eigen veld toevoegen: zet hieronder het Windsor-veld-id in kolom A en een x in kolom C (tot rij 80).</t>
        </is>
      </c>
    </row>
    <row r="16">
      <c r="A16" s="21" t="n"/>
      <c r="C16" s="21" t="n"/>
      <c r="D16" s="20">
        <f>IF(AND($C16="x",$A16&lt;&gt;""),$A16,"")</f>
        <v/>
      </c>
    </row>
    <row r="17">
      <c r="A17" s="21" t="n"/>
      <c r="C17" s="21" t="n"/>
      <c r="D17" s="20">
        <f>IF(AND($C17="x",$A17&lt;&gt;""),$A17,"")</f>
        <v/>
      </c>
    </row>
    <row r="18">
      <c r="A18" s="21" t="n"/>
      <c r="C18" s="21" t="n"/>
      <c r="D18" s="20">
        <f>IF(AND($C18="x",$A18&lt;&gt;""),$A18,"")</f>
        <v/>
      </c>
    </row>
    <row r="19">
      <c r="A19" s="21" t="n"/>
      <c r="C19" s="21" t="n"/>
      <c r="D19" s="20">
        <f>IF(AND($C19="x",$A19&lt;&gt;""),$A19,"")</f>
        <v/>
      </c>
    </row>
    <row r="20">
      <c r="A20" s="21" t="n"/>
      <c r="C20" s="21" t="n"/>
      <c r="D20" s="20">
        <f>IF(AND($C20="x",$A20&lt;&gt;""),$A20,"")</f>
        <v/>
      </c>
    </row>
    <row r="21">
      <c r="A21" s="21" t="n"/>
      <c r="C21" s="21" t="n"/>
      <c r="D21" s="20">
        <f>IF(AND($C21="x",$A21&lt;&gt;""),$A21,"")</f>
        <v/>
      </c>
    </row>
    <row r="22">
      <c r="A22" s="21" t="n"/>
      <c r="C22" s="21" t="n"/>
      <c r="D22" s="20">
        <f>IF(AND($C22="x",$A22&lt;&gt;""),$A22,"")</f>
        <v/>
      </c>
    </row>
    <row r="23">
      <c r="A23" s="21" t="n"/>
      <c r="C23" s="21" t="n"/>
      <c r="D23" s="20">
        <f>IF(AND($C23="x",$A23&lt;&gt;""),$A23,"")</f>
        <v/>
      </c>
    </row>
    <row r="24">
      <c r="A24" s="21" t="n"/>
      <c r="C24" s="21" t="n"/>
      <c r="D24" s="20">
        <f>IF(AND($C24="x",$A24&lt;&gt;""),$A24,"")</f>
        <v/>
      </c>
    </row>
    <row r="25">
      <c r="A25" s="21" t="n"/>
      <c r="C25" s="21" t="n"/>
      <c r="D25" s="20">
        <f>IF(AND($C25="x",$A25&lt;&gt;""),$A25,"")</f>
        <v/>
      </c>
    </row>
    <row r="26">
      <c r="A26" s="21" t="n"/>
      <c r="C26" s="21" t="n"/>
      <c r="D26" s="20">
        <f>IF(AND($C26="x",$A26&lt;&gt;""),$A26,"")</f>
        <v/>
      </c>
    </row>
    <row r="27">
      <c r="A27" s="21" t="n"/>
      <c r="C27" s="21" t="n"/>
      <c r="D27" s="20">
        <f>IF(AND($C27="x",$A27&lt;&gt;""),$A27,"")</f>
        <v/>
      </c>
    </row>
    <row r="28">
      <c r="A28" s="21" t="n"/>
      <c r="C28" s="21" t="n"/>
      <c r="D28" s="20">
        <f>IF(AND($C28="x",$A28&lt;&gt;""),$A28,"")</f>
        <v/>
      </c>
    </row>
    <row r="29">
      <c r="A29" s="21" t="n"/>
      <c r="C29" s="21" t="n"/>
      <c r="D29" s="20">
        <f>IF(AND($C29="x",$A29&lt;&gt;""),$A29,"")</f>
        <v/>
      </c>
    </row>
    <row r="30">
      <c r="A30" s="21" t="n"/>
      <c r="C30" s="21" t="n"/>
      <c r="D30" s="20">
        <f>IF(AND($C30="x",$A30&lt;&gt;""),$A30,"")</f>
        <v/>
      </c>
    </row>
    <row r="31">
      <c r="A31" s="21" t="n"/>
      <c r="C31" s="21" t="n"/>
      <c r="D31" s="20">
        <f>IF(AND($C31="x",$A31&lt;&gt;""),$A31,"")</f>
        <v/>
      </c>
    </row>
    <row r="32">
      <c r="A32" s="21" t="n"/>
      <c r="C32" s="21" t="n"/>
      <c r="D32" s="20">
        <f>IF(AND($C32="x",$A32&lt;&gt;""),$A32,"")</f>
        <v/>
      </c>
    </row>
    <row r="33">
      <c r="A33" s="21" t="n"/>
      <c r="C33" s="21" t="n"/>
      <c r="D33" s="20">
        <f>IF(AND($C33="x",$A33&lt;&gt;""),$A33,"")</f>
        <v/>
      </c>
    </row>
    <row r="34">
      <c r="A34" s="21" t="n"/>
      <c r="C34" s="21" t="n"/>
      <c r="D34" s="20">
        <f>IF(AND($C34="x",$A34&lt;&gt;""),$A34,"")</f>
        <v/>
      </c>
    </row>
    <row r="35">
      <c r="A35" s="21" t="n"/>
      <c r="C35" s="21" t="n"/>
      <c r="D35" s="20">
        <f>IF(AND($C35="x",$A35&lt;&gt;""),$A35,"")</f>
        <v/>
      </c>
    </row>
    <row r="36">
      <c r="A36" s="21" t="n"/>
      <c r="C36" s="21" t="n"/>
      <c r="D36" s="20">
        <f>IF(AND($C36="x",$A36&lt;&gt;""),$A36,"")</f>
        <v/>
      </c>
    </row>
    <row r="37">
      <c r="A37" s="21" t="n"/>
      <c r="C37" s="21" t="n"/>
      <c r="D37" s="20">
        <f>IF(AND($C37="x",$A37&lt;&gt;""),$A37,"")</f>
        <v/>
      </c>
    </row>
    <row r="38">
      <c r="A38" s="21" t="n"/>
      <c r="C38" s="21" t="n"/>
      <c r="D38" s="20">
        <f>IF(AND($C38="x",$A38&lt;&gt;""),$A38,"")</f>
        <v/>
      </c>
    </row>
    <row r="39">
      <c r="A39" s="21" t="n"/>
      <c r="C39" s="21" t="n"/>
      <c r="D39" s="20">
        <f>IF(AND($C39="x",$A39&lt;&gt;""),$A39,"")</f>
        <v/>
      </c>
    </row>
    <row r="40">
      <c r="A40" s="21" t="n"/>
      <c r="C40" s="21" t="n"/>
      <c r="D40" s="20">
        <f>IF(AND($C40="x",$A40&lt;&gt;""),$A40,"")</f>
        <v/>
      </c>
    </row>
    <row r="41">
      <c r="A41" s="21" t="n"/>
      <c r="C41" s="21" t="n"/>
      <c r="D41" s="20">
        <f>IF(AND($C41="x",$A41&lt;&gt;""),$A41,"")</f>
        <v/>
      </c>
    </row>
    <row r="42">
      <c r="A42" s="21" t="n"/>
      <c r="C42" s="21" t="n"/>
      <c r="D42" s="20">
        <f>IF(AND($C42="x",$A42&lt;&gt;""),$A42,"")</f>
        <v/>
      </c>
    </row>
    <row r="43">
      <c r="A43" s="21" t="n"/>
      <c r="C43" s="21" t="n"/>
      <c r="D43" s="20">
        <f>IF(AND($C43="x",$A43&lt;&gt;""),$A43,"")</f>
        <v/>
      </c>
    </row>
    <row r="44">
      <c r="A44" s="21" t="n"/>
      <c r="C44" s="21" t="n"/>
      <c r="D44" s="20">
        <f>IF(AND($C44="x",$A44&lt;&gt;""),$A44,"")</f>
        <v/>
      </c>
    </row>
    <row r="45">
      <c r="A45" s="21" t="n"/>
      <c r="C45" s="21" t="n"/>
      <c r="D45" s="20">
        <f>IF(AND($C45="x",$A45&lt;&gt;""),$A45,"")</f>
        <v/>
      </c>
    </row>
    <row r="46">
      <c r="A46" s="21" t="n"/>
      <c r="C46" s="21" t="n"/>
      <c r="D46" s="20">
        <f>IF(AND($C46="x",$A46&lt;&gt;""),$A46,"")</f>
        <v/>
      </c>
    </row>
    <row r="47">
      <c r="A47" s="21" t="n"/>
      <c r="C47" s="21" t="n"/>
      <c r="D47" s="20">
        <f>IF(AND($C47="x",$A47&lt;&gt;""),$A47,"")</f>
        <v/>
      </c>
    </row>
    <row r="48">
      <c r="A48" s="21" t="n"/>
      <c r="C48" s="21" t="n"/>
      <c r="D48" s="20">
        <f>IF(AND($C48="x",$A48&lt;&gt;""),$A48,"")</f>
        <v/>
      </c>
    </row>
    <row r="49">
      <c r="A49" s="21" t="n"/>
      <c r="C49" s="21" t="n"/>
      <c r="D49" s="20">
        <f>IF(AND($C49="x",$A49&lt;&gt;""),$A49,"")</f>
        <v/>
      </c>
    </row>
    <row r="50">
      <c r="A50" s="21" t="n"/>
      <c r="C50" s="21" t="n"/>
      <c r="D50" s="20">
        <f>IF(AND($C50="x",$A50&lt;&gt;""),$A50,"")</f>
        <v/>
      </c>
    </row>
    <row r="51">
      <c r="A51" s="21" t="n"/>
      <c r="C51" s="21" t="n"/>
      <c r="D51" s="20">
        <f>IF(AND($C51="x",$A51&lt;&gt;""),$A51,"")</f>
        <v/>
      </c>
    </row>
    <row r="52">
      <c r="A52" s="21" t="n"/>
      <c r="C52" s="21" t="n"/>
      <c r="D52" s="20">
        <f>IF(AND($C52="x",$A52&lt;&gt;""),$A52,"")</f>
        <v/>
      </c>
    </row>
    <row r="53">
      <c r="A53" s="21" t="n"/>
      <c r="C53" s="21" t="n"/>
      <c r="D53" s="20">
        <f>IF(AND($C53="x",$A53&lt;&gt;""),$A53,"")</f>
        <v/>
      </c>
    </row>
    <row r="54">
      <c r="A54" s="21" t="n"/>
      <c r="C54" s="21" t="n"/>
      <c r="D54" s="20">
        <f>IF(AND($C54="x",$A54&lt;&gt;""),$A54,"")</f>
        <v/>
      </c>
    </row>
    <row r="55">
      <c r="A55" s="21" t="n"/>
      <c r="C55" s="21" t="n"/>
      <c r="D55" s="20">
        <f>IF(AND($C55="x",$A55&lt;&gt;""),$A55,"")</f>
        <v/>
      </c>
    </row>
    <row r="56">
      <c r="A56" s="21" t="n"/>
      <c r="C56" s="21" t="n"/>
      <c r="D56" s="20">
        <f>IF(AND($C56="x",$A56&lt;&gt;""),$A56,"")</f>
        <v/>
      </c>
    </row>
    <row r="57">
      <c r="A57" s="21" t="n"/>
      <c r="C57" s="21" t="n"/>
      <c r="D57" s="20">
        <f>IF(AND($C57="x",$A57&lt;&gt;""),$A57,"")</f>
        <v/>
      </c>
    </row>
    <row r="58">
      <c r="A58" s="21" t="n"/>
      <c r="C58" s="21" t="n"/>
      <c r="D58" s="20">
        <f>IF(AND($C58="x",$A58&lt;&gt;""),$A58,"")</f>
        <v/>
      </c>
    </row>
    <row r="59">
      <c r="A59" s="21" t="n"/>
      <c r="C59" s="21" t="n"/>
      <c r="D59" s="20">
        <f>IF(AND($C59="x",$A59&lt;&gt;""),$A59,"")</f>
        <v/>
      </c>
    </row>
    <row r="60">
      <c r="A60" s="21" t="n"/>
      <c r="C60" s="21" t="n"/>
      <c r="D60" s="20">
        <f>IF(AND($C60="x",$A60&lt;&gt;""),$A60,"")</f>
        <v/>
      </c>
    </row>
    <row r="61">
      <c r="A61" s="21" t="n"/>
      <c r="C61" s="21" t="n"/>
      <c r="D61" s="20">
        <f>IF(AND($C61="x",$A61&lt;&gt;""),$A61,"")</f>
        <v/>
      </c>
    </row>
    <row r="62">
      <c r="A62" s="21" t="n"/>
      <c r="C62" s="21" t="n"/>
      <c r="D62" s="20">
        <f>IF(AND($C62="x",$A62&lt;&gt;""),$A62,"")</f>
        <v/>
      </c>
    </row>
    <row r="63">
      <c r="A63" s="21" t="n"/>
      <c r="C63" s="21" t="n"/>
      <c r="D63" s="20">
        <f>IF(AND($C63="x",$A63&lt;&gt;""),$A63,"")</f>
        <v/>
      </c>
    </row>
    <row r="64">
      <c r="A64" s="21" t="n"/>
      <c r="C64" s="21" t="n"/>
      <c r="D64" s="20">
        <f>IF(AND($C64="x",$A64&lt;&gt;""),$A64,"")</f>
        <v/>
      </c>
    </row>
    <row r="65">
      <c r="A65" s="21" t="n"/>
      <c r="C65" s="21" t="n"/>
      <c r="D65" s="20">
        <f>IF(AND($C65="x",$A65&lt;&gt;""),$A65,"")</f>
        <v/>
      </c>
    </row>
    <row r="66">
      <c r="A66" s="21" t="n"/>
      <c r="C66" s="21" t="n"/>
      <c r="D66" s="20">
        <f>IF(AND($C66="x",$A66&lt;&gt;""),$A66,"")</f>
        <v/>
      </c>
    </row>
    <row r="67">
      <c r="A67" s="21" t="n"/>
      <c r="C67" s="21" t="n"/>
      <c r="D67" s="20">
        <f>IF(AND($C67="x",$A67&lt;&gt;""),$A67,"")</f>
        <v/>
      </c>
    </row>
    <row r="68">
      <c r="A68" s="21" t="n"/>
      <c r="C68" s="21" t="n"/>
      <c r="D68" s="20">
        <f>IF(AND($C68="x",$A68&lt;&gt;""),$A68,"")</f>
        <v/>
      </c>
    </row>
    <row r="69">
      <c r="A69" s="21" t="n"/>
      <c r="C69" s="21" t="n"/>
      <c r="D69" s="20">
        <f>IF(AND($C69="x",$A69&lt;&gt;""),$A69,"")</f>
        <v/>
      </c>
    </row>
    <row r="70">
      <c r="A70" s="21" t="n"/>
      <c r="C70" s="21" t="n"/>
      <c r="D70" s="20">
        <f>IF(AND($C70="x",$A70&lt;&gt;""),$A70,"")</f>
        <v/>
      </c>
    </row>
    <row r="71">
      <c r="A71" s="21" t="n"/>
      <c r="C71" s="21" t="n"/>
      <c r="D71" s="20">
        <f>IF(AND($C71="x",$A71&lt;&gt;""),$A71,"")</f>
        <v/>
      </c>
    </row>
    <row r="72">
      <c r="A72" s="21" t="n"/>
      <c r="C72" s="21" t="n"/>
      <c r="D72" s="20">
        <f>IF(AND($C72="x",$A72&lt;&gt;""),$A72,"")</f>
        <v/>
      </c>
    </row>
    <row r="73">
      <c r="A73" s="21" t="n"/>
      <c r="C73" s="21" t="n"/>
      <c r="D73" s="20">
        <f>IF(AND($C73="x",$A73&lt;&gt;""),$A73,"")</f>
        <v/>
      </c>
    </row>
    <row r="74">
      <c r="A74" s="21" t="n"/>
      <c r="C74" s="21" t="n"/>
      <c r="D74" s="20">
        <f>IF(AND($C74="x",$A74&lt;&gt;""),$A74,"")</f>
        <v/>
      </c>
    </row>
    <row r="75">
      <c r="A75" s="21" t="n"/>
      <c r="C75" s="21" t="n"/>
      <c r="D75" s="20">
        <f>IF(AND($C75="x",$A75&lt;&gt;""),$A75,"")</f>
        <v/>
      </c>
    </row>
    <row r="76">
      <c r="A76" s="21" t="n"/>
      <c r="C76" s="21" t="n"/>
      <c r="D76" s="20">
        <f>IF(AND($C76="x",$A76&lt;&gt;""),$A76,"")</f>
        <v/>
      </c>
    </row>
    <row r="77">
      <c r="A77" s="21" t="n"/>
      <c r="C77" s="21" t="n"/>
      <c r="D77" s="20">
        <f>IF(AND($C77="x",$A77&lt;&gt;""),$A77,"")</f>
        <v/>
      </c>
    </row>
    <row r="78">
      <c r="A78" s="21" t="n"/>
      <c r="C78" s="21" t="n"/>
      <c r="D78" s="20">
        <f>IF(AND($C78="x",$A78&lt;&gt;""),$A78,"")</f>
        <v/>
      </c>
    </row>
    <row r="79">
      <c r="A79" s="21" t="n"/>
      <c r="C79" s="21" t="n"/>
      <c r="D79" s="20">
        <f>IF(AND($C79="x",$A79&lt;&gt;""),$A79,"")</f>
        <v/>
      </c>
    </row>
    <row r="80">
      <c r="A80" s="21" t="n"/>
      <c r="C80" s="21" t="n"/>
      <c r="D80" s="20">
        <f>IF(AND($C80="x",$A80&lt;&gt;""),$A80,"")</f>
        <v/>
      </c>
    </row>
  </sheetData>
  <mergeCells count="2">
    <mergeCell ref="A15:C15"/>
    <mergeCell ref="B8:D8"/>
  </mergeCells>
  <dataValidations count="1">
    <dataValidation sqref="C12 C13 C14 C15 C16 C17 C18 C19 C20 C21 C22 C23 C24 C25 C26 C27 C28 C29 C30 C31 C32 C33 C34 C35 C36 C37 C38 C39 C40 C41 C42 C43 C44 C45 C46 C47 C48 C49 C50 C51 C52 C53 C54 C55 C56 C57 C58 C59 C60 C61 C62 C63 C64 C65 C66 C67 C68 C69 C70 C71 C72 C73 C74 C75 C76 C77 C78 C79 C80" showDropDown="0" showInputMessage="0" showErrorMessage="1" allowBlank="1" errorTitle="Alleen x" error="Zet een x om het veld op te nemen, of laat de cel leeg." type="list">
      <formula1>"x"</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80"/>
  <sheetViews>
    <sheetView workbookViewId="0">
      <pane ySplit="11" topLeftCell="A12" activePane="bottomLeft" state="frozen"/>
      <selection pane="bottomLeft" activeCell="A1" sqref="A1"/>
    </sheetView>
  </sheetViews>
  <sheetFormatPr baseColWidth="8" defaultRowHeight="15"/>
  <cols>
    <col width="44" customWidth="1" min="1" max="1"/>
    <col width="62" customWidth="1" min="2" max="2"/>
    <col width="13" customWidth="1" min="3" max="3"/>
    <col hidden="1" width="10" customWidth="1" min="4" max="4"/>
  </cols>
  <sheetData>
    <row r="1">
      <c r="A1" s="13" t="inlineStr">
        <is>
          <t>Windsor-export: Convertkit subscribers</t>
        </is>
      </c>
      <c r="C1" s="14" t="inlineStr">
        <is>
          <t>Status: Alleen bij ConvertKit · E-mail</t>
        </is>
      </c>
    </row>
    <row r="2">
      <c r="A2" s="3" t="inlineStr">
        <is>
          <t>Connector</t>
        </is>
      </c>
      <c r="B2" s="6" t="inlineStr">
        <is>
          <t>convertkit</t>
        </is>
      </c>
    </row>
    <row r="3">
      <c r="A3" s="3" t="inlineStr">
        <is>
          <t>Account-id (uit Instellingen)</t>
        </is>
      </c>
      <c r="B3" s="6" t="inlineStr"/>
      <c r="C3" s="12" t="inlineStr">
        <is>
          <t>Leeg = geen select_accounts in de URL</t>
        </is>
      </c>
    </row>
    <row r="4">
      <c r="A4" s="3" t="inlineStr">
        <is>
          <t>Taaknaam (Task name)</t>
        </is>
      </c>
      <c r="B4" s="15">
        <f>"Windsor - Sheets - Convertkit subscribers - "&amp;Instellingen!$B$3</f>
        <v/>
      </c>
    </row>
    <row r="5">
      <c r="A5" s="3" t="inlineStr">
        <is>
          <t>Tabnaam (Sheet Name)</t>
        </is>
      </c>
      <c r="B5" s="15">
        <f>"Convertkit - subscribers - "&amp;Instellingen!$B$3&amp;" - windsor.ai"</f>
        <v/>
      </c>
      <c r="C5" s="12" t="inlineStr">
        <is>
          <t>Herkenning in api/_sheetdata.js gaat op bron + niveau in deze naam; hou het voorstel aan.</t>
        </is>
      </c>
    </row>
    <row r="6">
      <c r="A6" s="3" t="inlineStr">
        <is>
          <t>Columns to Match (rows to replace)</t>
        </is>
      </c>
      <c r="B6" s="6" t="inlineStr">
        <is>
          <t>subscribers__created_at</t>
        </is>
      </c>
      <c r="C6" s="12" t="inlineStr">
        <is>
          <t>Voorstel; zoals bij de bestaande exports.</t>
        </is>
      </c>
    </row>
    <row r="7">
      <c r="A7" s="3" t="inlineStr">
        <is>
          <t>Schedule</t>
        </is>
      </c>
      <c r="B7" s="6" t="inlineStr">
        <is>
          <t>Daily · 00:00 UTC · Target Cell A1 · Authentication: Google Account</t>
        </is>
      </c>
    </row>
    <row r="8" ht="90" customHeight="1">
      <c r="A8" s="3" t="inlineStr">
        <is>
          <t>Query (gegenereerd — api_key blijft leeg)</t>
        </is>
      </c>
      <c r="B8" s="16">
        <f>"https://connectors.windsor.ai/"&amp;$B$2&amp;"?api_key="&amp;IF(Instellingen!$B$4&lt;&gt;"","&amp;date_preset="&amp;Instellingen!$B$4,"")&amp;"&amp;fields="&amp;_xlfn.TEXTJOIN(",",TRUE,$D$12:$D$80)&amp;IF($B$3&lt;&gt;"","&amp;select_accounts="&amp;$B$3,"")&amp;IF(Instellingen!$B$5&lt;&gt;"","&amp;_field_headers="&amp;Instellingen!$B$5,"")</f>
        <v/>
      </c>
    </row>
    <row r="9">
      <c r="A9" s="3" t="inlineStr">
        <is>
          <t>Aantal velden in de query</t>
        </is>
      </c>
      <c r="B9" s="17">
        <f>COUNTIF($C$12:$C$80,"x")</f>
        <v/>
      </c>
    </row>
    <row r="11">
      <c r="A11" s="8" t="inlineStr">
        <is>
          <t>Veld (Windsor-id)</t>
        </is>
      </c>
      <c r="B11" s="8" t="inlineStr">
        <is>
          <t>Gebruik in het dashboard</t>
        </is>
      </c>
      <c r="C11" s="8" t="inlineStr">
        <is>
          <t>Opnemen (x)</t>
        </is>
      </c>
      <c r="D11" s="8" t="inlineStr">
        <is>
          <t>→ query</t>
        </is>
      </c>
    </row>
    <row r="12">
      <c r="A12" s="9" t="inlineStr">
        <is>
          <t>subscribers__id</t>
        </is>
      </c>
      <c r="B12" s="18" t="inlineStr">
        <is>
          <t>Id</t>
        </is>
      </c>
      <c r="C12" s="19" t="inlineStr">
        <is>
          <t>x</t>
        </is>
      </c>
      <c r="D12" s="20">
        <f>IF(AND($C12="x",$A12&lt;&gt;""),$A12,"")</f>
        <v/>
      </c>
    </row>
    <row r="13">
      <c r="A13" s="9" t="inlineStr">
        <is>
          <t>subscribers__created_at</t>
        </is>
      </c>
      <c r="B13" s="18" t="inlineStr">
        <is>
          <t>Aangemeld (datumkolom)</t>
        </is>
      </c>
      <c r="C13" s="19" t="inlineStr">
        <is>
          <t>x</t>
        </is>
      </c>
      <c r="D13" s="20">
        <f>IF(AND($C13="x",$A13&lt;&gt;""),$A13,"")</f>
        <v/>
      </c>
    </row>
    <row r="14">
      <c r="A14" s="9" t="inlineStr">
        <is>
          <t>subscribers__state</t>
        </is>
      </c>
      <c r="B14" s="18" t="inlineStr">
        <is>
          <t>Status</t>
        </is>
      </c>
      <c r="C14" s="19" t="inlineStr">
        <is>
          <t>x</t>
        </is>
      </c>
      <c r="D14" s="20">
        <f>IF(AND($C14="x",$A14&lt;&gt;""),$A14,"")</f>
        <v/>
      </c>
    </row>
    <row r="15">
      <c r="A15" s="14" t="inlineStr">
        <is>
          <t>Eigen veld toevoegen: zet hieronder het Windsor-veld-id in kolom A en een x in kolom C (tot rij 80).</t>
        </is>
      </c>
    </row>
    <row r="16">
      <c r="A16" s="21" t="n"/>
      <c r="C16" s="21" t="n"/>
      <c r="D16" s="20">
        <f>IF(AND($C16="x",$A16&lt;&gt;""),$A16,"")</f>
        <v/>
      </c>
    </row>
    <row r="17">
      <c r="A17" s="21" t="n"/>
      <c r="C17" s="21" t="n"/>
      <c r="D17" s="20">
        <f>IF(AND($C17="x",$A17&lt;&gt;""),$A17,"")</f>
        <v/>
      </c>
    </row>
    <row r="18">
      <c r="A18" s="21" t="n"/>
      <c r="C18" s="21" t="n"/>
      <c r="D18" s="20">
        <f>IF(AND($C18="x",$A18&lt;&gt;""),$A18,"")</f>
        <v/>
      </c>
    </row>
    <row r="19">
      <c r="A19" s="21" t="n"/>
      <c r="C19" s="21" t="n"/>
      <c r="D19" s="20">
        <f>IF(AND($C19="x",$A19&lt;&gt;""),$A19,"")</f>
        <v/>
      </c>
    </row>
    <row r="20">
      <c r="A20" s="21" t="n"/>
      <c r="C20" s="21" t="n"/>
      <c r="D20" s="20">
        <f>IF(AND($C20="x",$A20&lt;&gt;""),$A20,"")</f>
        <v/>
      </c>
    </row>
    <row r="21">
      <c r="A21" s="21" t="n"/>
      <c r="C21" s="21" t="n"/>
      <c r="D21" s="20">
        <f>IF(AND($C21="x",$A21&lt;&gt;""),$A21,"")</f>
        <v/>
      </c>
    </row>
    <row r="22">
      <c r="A22" s="21" t="n"/>
      <c r="C22" s="21" t="n"/>
      <c r="D22" s="20">
        <f>IF(AND($C22="x",$A22&lt;&gt;""),$A22,"")</f>
        <v/>
      </c>
    </row>
    <row r="23">
      <c r="A23" s="21" t="n"/>
      <c r="C23" s="21" t="n"/>
      <c r="D23" s="20">
        <f>IF(AND($C23="x",$A23&lt;&gt;""),$A23,"")</f>
        <v/>
      </c>
    </row>
    <row r="24">
      <c r="A24" s="21" t="n"/>
      <c r="C24" s="21" t="n"/>
      <c r="D24" s="20">
        <f>IF(AND($C24="x",$A24&lt;&gt;""),$A24,"")</f>
        <v/>
      </c>
    </row>
    <row r="25">
      <c r="A25" s="21" t="n"/>
      <c r="C25" s="21" t="n"/>
      <c r="D25" s="20">
        <f>IF(AND($C25="x",$A25&lt;&gt;""),$A25,"")</f>
        <v/>
      </c>
    </row>
    <row r="26">
      <c r="A26" s="21" t="n"/>
      <c r="C26" s="21" t="n"/>
      <c r="D26" s="20">
        <f>IF(AND($C26="x",$A26&lt;&gt;""),$A26,"")</f>
        <v/>
      </c>
    </row>
    <row r="27">
      <c r="A27" s="21" t="n"/>
      <c r="C27" s="21" t="n"/>
      <c r="D27" s="20">
        <f>IF(AND($C27="x",$A27&lt;&gt;""),$A27,"")</f>
        <v/>
      </c>
    </row>
    <row r="28">
      <c r="A28" s="21" t="n"/>
      <c r="C28" s="21" t="n"/>
      <c r="D28" s="20">
        <f>IF(AND($C28="x",$A28&lt;&gt;""),$A28,"")</f>
        <v/>
      </c>
    </row>
    <row r="29">
      <c r="A29" s="21" t="n"/>
      <c r="C29" s="21" t="n"/>
      <c r="D29" s="20">
        <f>IF(AND($C29="x",$A29&lt;&gt;""),$A29,"")</f>
        <v/>
      </c>
    </row>
    <row r="30">
      <c r="A30" s="21" t="n"/>
      <c r="C30" s="21" t="n"/>
      <c r="D30" s="20">
        <f>IF(AND($C30="x",$A30&lt;&gt;""),$A30,"")</f>
        <v/>
      </c>
    </row>
    <row r="31">
      <c r="A31" s="21" t="n"/>
      <c r="C31" s="21" t="n"/>
      <c r="D31" s="20">
        <f>IF(AND($C31="x",$A31&lt;&gt;""),$A31,"")</f>
        <v/>
      </c>
    </row>
    <row r="32">
      <c r="A32" s="21" t="n"/>
      <c r="C32" s="21" t="n"/>
      <c r="D32" s="20">
        <f>IF(AND($C32="x",$A32&lt;&gt;""),$A32,"")</f>
        <v/>
      </c>
    </row>
    <row r="33">
      <c r="A33" s="21" t="n"/>
      <c r="C33" s="21" t="n"/>
      <c r="D33" s="20">
        <f>IF(AND($C33="x",$A33&lt;&gt;""),$A33,"")</f>
        <v/>
      </c>
    </row>
    <row r="34">
      <c r="A34" s="21" t="n"/>
      <c r="C34" s="21" t="n"/>
      <c r="D34" s="20">
        <f>IF(AND($C34="x",$A34&lt;&gt;""),$A34,"")</f>
        <v/>
      </c>
    </row>
    <row r="35">
      <c r="A35" s="21" t="n"/>
      <c r="C35" s="21" t="n"/>
      <c r="D35" s="20">
        <f>IF(AND($C35="x",$A35&lt;&gt;""),$A35,"")</f>
        <v/>
      </c>
    </row>
    <row r="36">
      <c r="A36" s="21" t="n"/>
      <c r="C36" s="21" t="n"/>
      <c r="D36" s="20">
        <f>IF(AND($C36="x",$A36&lt;&gt;""),$A36,"")</f>
        <v/>
      </c>
    </row>
    <row r="37">
      <c r="A37" s="21" t="n"/>
      <c r="C37" s="21" t="n"/>
      <c r="D37" s="20">
        <f>IF(AND($C37="x",$A37&lt;&gt;""),$A37,"")</f>
        <v/>
      </c>
    </row>
    <row r="38">
      <c r="A38" s="21" t="n"/>
      <c r="C38" s="21" t="n"/>
      <c r="D38" s="20">
        <f>IF(AND($C38="x",$A38&lt;&gt;""),$A38,"")</f>
        <v/>
      </c>
    </row>
    <row r="39">
      <c r="A39" s="21" t="n"/>
      <c r="C39" s="21" t="n"/>
      <c r="D39" s="20">
        <f>IF(AND($C39="x",$A39&lt;&gt;""),$A39,"")</f>
        <v/>
      </c>
    </row>
    <row r="40">
      <c r="A40" s="21" t="n"/>
      <c r="C40" s="21" t="n"/>
      <c r="D40" s="20">
        <f>IF(AND($C40="x",$A40&lt;&gt;""),$A40,"")</f>
        <v/>
      </c>
    </row>
    <row r="41">
      <c r="A41" s="21" t="n"/>
      <c r="C41" s="21" t="n"/>
      <c r="D41" s="20">
        <f>IF(AND($C41="x",$A41&lt;&gt;""),$A41,"")</f>
        <v/>
      </c>
    </row>
    <row r="42">
      <c r="A42" s="21" t="n"/>
      <c r="C42" s="21" t="n"/>
      <c r="D42" s="20">
        <f>IF(AND($C42="x",$A42&lt;&gt;""),$A42,"")</f>
        <v/>
      </c>
    </row>
    <row r="43">
      <c r="A43" s="21" t="n"/>
      <c r="C43" s="21" t="n"/>
      <c r="D43" s="20">
        <f>IF(AND($C43="x",$A43&lt;&gt;""),$A43,"")</f>
        <v/>
      </c>
    </row>
    <row r="44">
      <c r="A44" s="21" t="n"/>
      <c r="C44" s="21" t="n"/>
      <c r="D44" s="20">
        <f>IF(AND($C44="x",$A44&lt;&gt;""),$A44,"")</f>
        <v/>
      </c>
    </row>
    <row r="45">
      <c r="A45" s="21" t="n"/>
      <c r="C45" s="21" t="n"/>
      <c r="D45" s="20">
        <f>IF(AND($C45="x",$A45&lt;&gt;""),$A45,"")</f>
        <v/>
      </c>
    </row>
    <row r="46">
      <c r="A46" s="21" t="n"/>
      <c r="C46" s="21" t="n"/>
      <c r="D46" s="20">
        <f>IF(AND($C46="x",$A46&lt;&gt;""),$A46,"")</f>
        <v/>
      </c>
    </row>
    <row r="47">
      <c r="A47" s="21" t="n"/>
      <c r="C47" s="21" t="n"/>
      <c r="D47" s="20">
        <f>IF(AND($C47="x",$A47&lt;&gt;""),$A47,"")</f>
        <v/>
      </c>
    </row>
    <row r="48">
      <c r="A48" s="21" t="n"/>
      <c r="C48" s="21" t="n"/>
      <c r="D48" s="20">
        <f>IF(AND($C48="x",$A48&lt;&gt;""),$A48,"")</f>
        <v/>
      </c>
    </row>
    <row r="49">
      <c r="A49" s="21" t="n"/>
      <c r="C49" s="21" t="n"/>
      <c r="D49" s="20">
        <f>IF(AND($C49="x",$A49&lt;&gt;""),$A49,"")</f>
        <v/>
      </c>
    </row>
    <row r="50">
      <c r="A50" s="21" t="n"/>
      <c r="C50" s="21" t="n"/>
      <c r="D50" s="20">
        <f>IF(AND($C50="x",$A50&lt;&gt;""),$A50,"")</f>
        <v/>
      </c>
    </row>
    <row r="51">
      <c r="A51" s="21" t="n"/>
      <c r="C51" s="21" t="n"/>
      <c r="D51" s="20">
        <f>IF(AND($C51="x",$A51&lt;&gt;""),$A51,"")</f>
        <v/>
      </c>
    </row>
    <row r="52">
      <c r="A52" s="21" t="n"/>
      <c r="C52" s="21" t="n"/>
      <c r="D52" s="20">
        <f>IF(AND($C52="x",$A52&lt;&gt;""),$A52,"")</f>
        <v/>
      </c>
    </row>
    <row r="53">
      <c r="A53" s="21" t="n"/>
      <c r="C53" s="21" t="n"/>
      <c r="D53" s="20">
        <f>IF(AND($C53="x",$A53&lt;&gt;""),$A53,"")</f>
        <v/>
      </c>
    </row>
    <row r="54">
      <c r="A54" s="21" t="n"/>
      <c r="C54" s="21" t="n"/>
      <c r="D54" s="20">
        <f>IF(AND($C54="x",$A54&lt;&gt;""),$A54,"")</f>
        <v/>
      </c>
    </row>
    <row r="55">
      <c r="A55" s="21" t="n"/>
      <c r="C55" s="21" t="n"/>
      <c r="D55" s="20">
        <f>IF(AND($C55="x",$A55&lt;&gt;""),$A55,"")</f>
        <v/>
      </c>
    </row>
    <row r="56">
      <c r="A56" s="21" t="n"/>
      <c r="C56" s="21" t="n"/>
      <c r="D56" s="20">
        <f>IF(AND($C56="x",$A56&lt;&gt;""),$A56,"")</f>
        <v/>
      </c>
    </row>
    <row r="57">
      <c r="A57" s="21" t="n"/>
      <c r="C57" s="21" t="n"/>
      <c r="D57" s="20">
        <f>IF(AND($C57="x",$A57&lt;&gt;""),$A57,"")</f>
        <v/>
      </c>
    </row>
    <row r="58">
      <c r="A58" s="21" t="n"/>
      <c r="C58" s="21" t="n"/>
      <c r="D58" s="20">
        <f>IF(AND($C58="x",$A58&lt;&gt;""),$A58,"")</f>
        <v/>
      </c>
    </row>
    <row r="59">
      <c r="A59" s="21" t="n"/>
      <c r="C59" s="21" t="n"/>
      <c r="D59" s="20">
        <f>IF(AND($C59="x",$A59&lt;&gt;""),$A59,"")</f>
        <v/>
      </c>
    </row>
    <row r="60">
      <c r="A60" s="21" t="n"/>
      <c r="C60" s="21" t="n"/>
      <c r="D60" s="20">
        <f>IF(AND($C60="x",$A60&lt;&gt;""),$A60,"")</f>
        <v/>
      </c>
    </row>
    <row r="61">
      <c r="A61" s="21" t="n"/>
      <c r="C61" s="21" t="n"/>
      <c r="D61" s="20">
        <f>IF(AND($C61="x",$A61&lt;&gt;""),$A61,"")</f>
        <v/>
      </c>
    </row>
    <row r="62">
      <c r="A62" s="21" t="n"/>
      <c r="C62" s="21" t="n"/>
      <c r="D62" s="20">
        <f>IF(AND($C62="x",$A62&lt;&gt;""),$A62,"")</f>
        <v/>
      </c>
    </row>
    <row r="63">
      <c r="A63" s="21" t="n"/>
      <c r="C63" s="21" t="n"/>
      <c r="D63" s="20">
        <f>IF(AND($C63="x",$A63&lt;&gt;""),$A63,"")</f>
        <v/>
      </c>
    </row>
    <row r="64">
      <c r="A64" s="21" t="n"/>
      <c r="C64" s="21" t="n"/>
      <c r="D64" s="20">
        <f>IF(AND($C64="x",$A64&lt;&gt;""),$A64,"")</f>
        <v/>
      </c>
    </row>
    <row r="65">
      <c r="A65" s="21" t="n"/>
      <c r="C65" s="21" t="n"/>
      <c r="D65" s="20">
        <f>IF(AND($C65="x",$A65&lt;&gt;""),$A65,"")</f>
        <v/>
      </c>
    </row>
    <row r="66">
      <c r="A66" s="21" t="n"/>
      <c r="C66" s="21" t="n"/>
      <c r="D66" s="20">
        <f>IF(AND($C66="x",$A66&lt;&gt;""),$A66,"")</f>
        <v/>
      </c>
    </row>
    <row r="67">
      <c r="A67" s="21" t="n"/>
      <c r="C67" s="21" t="n"/>
      <c r="D67" s="20">
        <f>IF(AND($C67="x",$A67&lt;&gt;""),$A67,"")</f>
        <v/>
      </c>
    </row>
    <row r="68">
      <c r="A68" s="21" t="n"/>
      <c r="C68" s="21" t="n"/>
      <c r="D68" s="20">
        <f>IF(AND($C68="x",$A68&lt;&gt;""),$A68,"")</f>
        <v/>
      </c>
    </row>
    <row r="69">
      <c r="A69" s="21" t="n"/>
      <c r="C69" s="21" t="n"/>
      <c r="D69" s="20">
        <f>IF(AND($C69="x",$A69&lt;&gt;""),$A69,"")</f>
        <v/>
      </c>
    </row>
    <row r="70">
      <c r="A70" s="21" t="n"/>
      <c r="C70" s="21" t="n"/>
      <c r="D70" s="20">
        <f>IF(AND($C70="x",$A70&lt;&gt;""),$A70,"")</f>
        <v/>
      </c>
    </row>
    <row r="71">
      <c r="A71" s="21" t="n"/>
      <c r="C71" s="21" t="n"/>
      <c r="D71" s="20">
        <f>IF(AND($C71="x",$A71&lt;&gt;""),$A71,"")</f>
        <v/>
      </c>
    </row>
    <row r="72">
      <c r="A72" s="21" t="n"/>
      <c r="C72" s="21" t="n"/>
      <c r="D72" s="20">
        <f>IF(AND($C72="x",$A72&lt;&gt;""),$A72,"")</f>
        <v/>
      </c>
    </row>
    <row r="73">
      <c r="A73" s="21" t="n"/>
      <c r="C73" s="21" t="n"/>
      <c r="D73" s="20">
        <f>IF(AND($C73="x",$A73&lt;&gt;""),$A73,"")</f>
        <v/>
      </c>
    </row>
    <row r="74">
      <c r="A74" s="21" t="n"/>
      <c r="C74" s="21" t="n"/>
      <c r="D74" s="20">
        <f>IF(AND($C74="x",$A74&lt;&gt;""),$A74,"")</f>
        <v/>
      </c>
    </row>
    <row r="75">
      <c r="A75" s="21" t="n"/>
      <c r="C75" s="21" t="n"/>
      <c r="D75" s="20">
        <f>IF(AND($C75="x",$A75&lt;&gt;""),$A75,"")</f>
        <v/>
      </c>
    </row>
    <row r="76">
      <c r="A76" s="21" t="n"/>
      <c r="C76" s="21" t="n"/>
      <c r="D76" s="20">
        <f>IF(AND($C76="x",$A76&lt;&gt;""),$A76,"")</f>
        <v/>
      </c>
    </row>
    <row r="77">
      <c r="A77" s="21" t="n"/>
      <c r="C77" s="21" t="n"/>
      <c r="D77" s="20">
        <f>IF(AND($C77="x",$A77&lt;&gt;""),$A77,"")</f>
        <v/>
      </c>
    </row>
    <row r="78">
      <c r="A78" s="21" t="n"/>
      <c r="C78" s="21" t="n"/>
      <c r="D78" s="20">
        <f>IF(AND($C78="x",$A78&lt;&gt;""),$A78,"")</f>
        <v/>
      </c>
    </row>
    <row r="79">
      <c r="A79" s="21" t="n"/>
      <c r="C79" s="21" t="n"/>
      <c r="D79" s="20">
        <f>IF(AND($C79="x",$A79&lt;&gt;""),$A79,"")</f>
        <v/>
      </c>
    </row>
    <row r="80">
      <c r="A80" s="21" t="n"/>
      <c r="C80" s="21" t="n"/>
      <c r="D80" s="20">
        <f>IF(AND($C80="x",$A80&lt;&gt;""),$A80,"")</f>
        <v/>
      </c>
    </row>
  </sheetData>
  <mergeCells count="2">
    <mergeCell ref="A15:C15"/>
    <mergeCell ref="B8:D8"/>
  </mergeCells>
  <dataValidations count="1">
    <dataValidation sqref="C12 C13 C14 C15 C16 C17 C18 C19 C20 C21 C22 C23 C24 C25 C26 C27 C28 C29 C30 C31 C32 C33 C34 C35 C36 C37 C38 C39 C40 C41 C42 C43 C44 C45 C46 C47 C48 C49 C50 C51 C52 C53 C54 C55 C56 C57 C58 C59 C60 C61 C62 C63 C64 C65 C66 C67 C68 C69 C70 C71 C72 C73 C74 C75 C76 C77 C78 C79 C80" showDropDown="0" showInputMessage="0" showErrorMessage="1" allowBlank="1" errorTitle="Alleen x" error="Zet een x om het veld op te nemen, of laat de cel leeg." type="list">
      <formula1>"x"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2026-10-14T23:21:47Z</dcterms:created>
  <dcterms:modified xsi:type="dcterms:W3CDTF">2026-10-14T23:21:47Z</dcterms:modified>
</cp:coreProperties>
</file>